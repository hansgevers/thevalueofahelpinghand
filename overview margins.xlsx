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sg\Documents\PhD ebs\JRF ebs\pub\own\European Societies\Value of a helping hand - desk rejected\stata1\"/>
    </mc:Choice>
  </mc:AlternateContent>
  <xr:revisionPtr revIDLastSave="0" documentId="13_ncr:1_{CD2D1CC8-0F6F-4AE0-8DE2-BA68D461D5A3}" xr6:coauthVersionLast="47" xr6:coauthVersionMax="47" xr10:uidLastSave="{00000000-0000-0000-0000-000000000000}"/>
  <bookViews>
    <workbookView xWindow="-120" yWindow="-120" windowWidth="29040" windowHeight="15720" xr2:uid="{EA051121-3FA1-4975-834C-297C8020A002}"/>
  </bookViews>
  <sheets>
    <sheet name="Imp1_summary" sheetId="1" r:id="rId1"/>
    <sheet name="Imp1" sheetId="6" r:id="rId2"/>
    <sheet name="Imp2" sheetId="2" r:id="rId3"/>
    <sheet name="Imp3" sheetId="3" r:id="rId4"/>
    <sheet name="Imp4" sheetId="4" r:id="rId5"/>
    <sheet name="Imp5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6" l="1"/>
  <c r="K8" i="6"/>
  <c r="L8" i="6"/>
  <c r="M8" i="6"/>
  <c r="N8" i="6"/>
  <c r="O8" i="6"/>
  <c r="J16" i="6"/>
  <c r="K16" i="6"/>
  <c r="L16" i="6"/>
  <c r="M16" i="6"/>
  <c r="N16" i="6"/>
  <c r="O16" i="6"/>
  <c r="J24" i="6"/>
  <c r="K24" i="6"/>
  <c r="L24" i="6"/>
  <c r="M24" i="6"/>
  <c r="N24" i="6"/>
  <c r="O24" i="6"/>
  <c r="J32" i="6"/>
  <c r="K32" i="6"/>
  <c r="L32" i="6"/>
  <c r="M32" i="6"/>
  <c r="N32" i="6"/>
  <c r="O32" i="6"/>
  <c r="J40" i="6"/>
  <c r="K40" i="6"/>
  <c r="L40" i="6"/>
  <c r="M40" i="6"/>
  <c r="N40" i="6"/>
  <c r="O40" i="6"/>
  <c r="O40" i="5"/>
  <c r="N40" i="5"/>
  <c r="M40" i="5"/>
  <c r="L40" i="5"/>
  <c r="K40" i="5"/>
  <c r="J40" i="5"/>
  <c r="O32" i="5"/>
  <c r="N32" i="5"/>
  <c r="M32" i="5"/>
  <c r="L32" i="5"/>
  <c r="K32" i="5"/>
  <c r="J32" i="5"/>
  <c r="O24" i="5"/>
  <c r="N24" i="5"/>
  <c r="M24" i="5"/>
  <c r="L24" i="5"/>
  <c r="K24" i="5"/>
  <c r="J24" i="5"/>
  <c r="O16" i="5"/>
  <c r="N16" i="5"/>
  <c r="M16" i="5"/>
  <c r="L16" i="5"/>
  <c r="K16" i="5"/>
  <c r="J16" i="5"/>
  <c r="O8" i="5"/>
  <c r="N8" i="5"/>
  <c r="M8" i="5"/>
  <c r="L8" i="5"/>
  <c r="K8" i="5"/>
  <c r="J8" i="5"/>
  <c r="O40" i="4"/>
  <c r="N40" i="4"/>
  <c r="M40" i="4"/>
  <c r="L40" i="4"/>
  <c r="K40" i="4"/>
  <c r="J40" i="4"/>
  <c r="O32" i="4"/>
  <c r="N32" i="4"/>
  <c r="M32" i="4"/>
  <c r="L32" i="4"/>
  <c r="K32" i="4"/>
  <c r="J32" i="4"/>
  <c r="O24" i="4"/>
  <c r="N24" i="4"/>
  <c r="M24" i="4"/>
  <c r="L24" i="4"/>
  <c r="K24" i="4"/>
  <c r="J24" i="4"/>
  <c r="O16" i="4"/>
  <c r="N16" i="4"/>
  <c r="M16" i="4"/>
  <c r="L16" i="4"/>
  <c r="K16" i="4"/>
  <c r="J16" i="4"/>
  <c r="O8" i="4"/>
  <c r="N8" i="4"/>
  <c r="M8" i="4"/>
  <c r="L8" i="4"/>
  <c r="K8" i="4"/>
  <c r="J8" i="4"/>
  <c r="O40" i="3"/>
  <c r="N40" i="3"/>
  <c r="M40" i="3"/>
  <c r="L40" i="3"/>
  <c r="K40" i="3"/>
  <c r="J40" i="3"/>
  <c r="O32" i="3"/>
  <c r="N32" i="3"/>
  <c r="M32" i="3"/>
  <c r="L32" i="3"/>
  <c r="K32" i="3"/>
  <c r="J32" i="3"/>
  <c r="O24" i="3"/>
  <c r="N24" i="3"/>
  <c r="M24" i="3"/>
  <c r="L24" i="3"/>
  <c r="K24" i="3"/>
  <c r="J24" i="3"/>
  <c r="O16" i="3"/>
  <c r="N16" i="3"/>
  <c r="M16" i="3"/>
  <c r="L16" i="3"/>
  <c r="K16" i="3"/>
  <c r="J16" i="3"/>
  <c r="O8" i="3"/>
  <c r="N8" i="3"/>
  <c r="M8" i="3"/>
  <c r="L8" i="3"/>
  <c r="K8" i="3"/>
  <c r="J8" i="3"/>
  <c r="O40" i="2"/>
  <c r="N40" i="2"/>
  <c r="M40" i="2"/>
  <c r="L40" i="2"/>
  <c r="K40" i="2"/>
  <c r="J40" i="2"/>
  <c r="O32" i="2"/>
  <c r="N32" i="2"/>
  <c r="M32" i="2"/>
  <c r="L32" i="2"/>
  <c r="K32" i="2"/>
  <c r="J32" i="2"/>
  <c r="O24" i="2"/>
  <c r="N24" i="2"/>
  <c r="M24" i="2"/>
  <c r="L24" i="2"/>
  <c r="K24" i="2"/>
  <c r="J24" i="2"/>
  <c r="O16" i="2"/>
  <c r="N16" i="2"/>
  <c r="M16" i="2"/>
  <c r="L16" i="2"/>
  <c r="K16" i="2"/>
  <c r="J16" i="2"/>
  <c r="O8" i="2"/>
  <c r="N8" i="2"/>
  <c r="M8" i="2"/>
  <c r="L8" i="2"/>
  <c r="K8" i="2"/>
  <c r="J8" i="2"/>
  <c r="J4" i="1"/>
  <c r="K4" i="1"/>
  <c r="L4" i="1"/>
  <c r="M4" i="1"/>
  <c r="N4" i="1"/>
  <c r="O4" i="1"/>
  <c r="J8" i="1"/>
  <c r="K8" i="1"/>
  <c r="L8" i="1"/>
  <c r="M8" i="1"/>
  <c r="N8" i="1"/>
  <c r="O8" i="1"/>
  <c r="J12" i="1"/>
  <c r="K12" i="1"/>
  <c r="L12" i="1"/>
  <c r="M12" i="1"/>
  <c r="N12" i="1"/>
  <c r="O12" i="1"/>
  <c r="J16" i="1"/>
  <c r="K16" i="1"/>
  <c r="L16" i="1"/>
  <c r="M16" i="1"/>
  <c r="N16" i="1"/>
  <c r="O16" i="1"/>
  <c r="J20" i="1"/>
  <c r="K20" i="1"/>
  <c r="L20" i="1"/>
  <c r="M20" i="1"/>
  <c r="N20" i="1"/>
  <c r="O20" i="1"/>
</calcChain>
</file>

<file path=xl/sharedStrings.xml><?xml version="1.0" encoding="utf-8"?>
<sst xmlns="http://schemas.openxmlformats.org/spreadsheetml/2006/main" count="1546" uniqueCount="630">
  <si>
    <t/>
  </si>
  <si>
    <t>(0.00213)</t>
  </si>
  <si>
    <t>(0.00304)</t>
  </si>
  <si>
    <t>(0.00240)</t>
  </si>
  <si>
    <t>0.0356</t>
  </si>
  <si>
    <t>(0.00251)</t>
  </si>
  <si>
    <t>0.0583</t>
  </si>
  <si>
    <t>(0.00503)</t>
  </si>
  <si>
    <t>0.0371</t>
  </si>
  <si>
    <t>0.133</t>
  </si>
  <si>
    <t>(0.00341)</t>
  </si>
  <si>
    <t>0.145</t>
  </si>
  <si>
    <t>0.134</t>
  </si>
  <si>
    <t>(0.00382)</t>
  </si>
  <si>
    <t>0.102</t>
  </si>
  <si>
    <t>(0.00457)</t>
  </si>
  <si>
    <t>0.141</t>
  </si>
  <si>
    <t>(0.00754)</t>
  </si>
  <si>
    <t>0.105</t>
  </si>
  <si>
    <t>0.389</t>
  </si>
  <si>
    <t>(0.00488)</t>
  </si>
  <si>
    <t>0.398</t>
  </si>
  <si>
    <t>(0.00542)</t>
  </si>
  <si>
    <t>0.357</t>
  </si>
  <si>
    <t>(0.00613)</t>
  </si>
  <si>
    <t>0.395</t>
  </si>
  <si>
    <t>(0.00682)</t>
  </si>
  <si>
    <t>0.360</t>
  </si>
  <si>
    <t>0.310</t>
  </si>
  <si>
    <t>(0.00465)</t>
  </si>
  <si>
    <t>0.295</t>
  </si>
  <si>
    <t>(0.00570)</t>
  </si>
  <si>
    <t>0.308</t>
  </si>
  <si>
    <t>(0.00505)</t>
  </si>
  <si>
    <t>0.340</t>
  </si>
  <si>
    <t>(0.00627)</t>
  </si>
  <si>
    <t>0.301</t>
  </si>
  <si>
    <t>(0.00886)</t>
  </si>
  <si>
    <t>0.116</t>
  </si>
  <si>
    <t>(0.00364)</t>
  </si>
  <si>
    <t>0.0998</t>
  </si>
  <si>
    <t>(0.00500)</t>
  </si>
  <si>
    <t>0.115</t>
  </si>
  <si>
    <t>0.165</t>
  </si>
  <si>
    <t>(0.00710)</t>
  </si>
  <si>
    <t>(0.00897)</t>
  </si>
  <si>
    <t>0.160</t>
  </si>
  <si>
    <t>(0.00990)</t>
  </si>
  <si>
    <t>29,989</t>
  </si>
  <si>
    <t>0.0469</t>
  </si>
  <si>
    <t>(0.00224)</t>
  </si>
  <si>
    <t>0.0326</t>
  </si>
  <si>
    <t>(0.00269)</t>
  </si>
  <si>
    <t>0.0527</t>
  </si>
  <si>
    <t>(0.00572)</t>
  </si>
  <si>
    <t>0.0332</t>
  </si>
  <si>
    <t>0.122</t>
  </si>
  <si>
    <t>0.143</t>
  </si>
  <si>
    <t>(0.00536)</t>
  </si>
  <si>
    <t>0.125</t>
  </si>
  <si>
    <t>0.0958</t>
  </si>
  <si>
    <t>(0.00501)</t>
  </si>
  <si>
    <t>0.131</t>
  </si>
  <si>
    <t>(0.00914)</t>
  </si>
  <si>
    <t>0.392</t>
  </si>
  <si>
    <t>(0.00553)</t>
  </si>
  <si>
    <t>0.411</t>
  </si>
  <si>
    <t>(0.00656)</t>
  </si>
  <si>
    <t>(0.00589)</t>
  </si>
  <si>
    <t>0.361</t>
  </si>
  <si>
    <t>(0.00744)</t>
  </si>
  <si>
    <t>0.401</t>
  </si>
  <si>
    <t>(0.00917)</t>
  </si>
  <si>
    <t>0.362</t>
  </si>
  <si>
    <t>(0.0105)</t>
  </si>
  <si>
    <t>0.315</t>
  </si>
  <si>
    <t>(0.00539)</t>
  </si>
  <si>
    <t>0.290</t>
  </si>
  <si>
    <t>0.343</t>
  </si>
  <si>
    <t>(0.00728)</t>
  </si>
  <si>
    <t>0.305</t>
  </si>
  <si>
    <t>(0.0110)</t>
  </si>
  <si>
    <t>0.342</t>
  </si>
  <si>
    <t>(0.00864)</t>
  </si>
  <si>
    <t>0.124</t>
  </si>
  <si>
    <t>(0.00428)</t>
  </si>
  <si>
    <t>0.0955</t>
  </si>
  <si>
    <t>(0.00593)</t>
  </si>
  <si>
    <t>0.119</t>
  </si>
  <si>
    <t>0.168</t>
  </si>
  <si>
    <t>(0.00811)</t>
  </si>
  <si>
    <t>0.110</t>
  </si>
  <si>
    <t>(0.0117)</t>
  </si>
  <si>
    <t>0.166</t>
  </si>
  <si>
    <t>22,899</t>
  </si>
  <si>
    <t>0.0423</t>
  </si>
  <si>
    <t>(0.00241)</t>
  </si>
  <si>
    <t>(0.00333)</t>
  </si>
  <si>
    <t>0.0281</t>
  </si>
  <si>
    <t>(0.00239)</t>
  </si>
  <si>
    <t>0.0490</t>
  </si>
  <si>
    <t>(0.00462)</t>
  </si>
  <si>
    <t>(0.00406)</t>
  </si>
  <si>
    <t>0.144</t>
  </si>
  <si>
    <t>(0.00610)</t>
  </si>
  <si>
    <t>0.0928</t>
  </si>
  <si>
    <t>(0.00492)</t>
  </si>
  <si>
    <t>0.138</t>
  </si>
  <si>
    <t>(0.00799)</t>
  </si>
  <si>
    <t>0.387</t>
  </si>
  <si>
    <t>(0.00624)</t>
  </si>
  <si>
    <t>0.406</t>
  </si>
  <si>
    <t>0.347</t>
  </si>
  <si>
    <t>(0.00699)</t>
  </si>
  <si>
    <t>0.400</t>
  </si>
  <si>
    <t>(0.00889)</t>
  </si>
  <si>
    <t>0.332</t>
  </si>
  <si>
    <t>(0.00790)</t>
  </si>
  <si>
    <t>0.365</t>
  </si>
  <si>
    <t>(0.00747)</t>
  </si>
  <si>
    <t>0.316</t>
  </si>
  <si>
    <t>(0.0102)</t>
  </si>
  <si>
    <t>0.114</t>
  </si>
  <si>
    <t>(0.00422)</t>
  </si>
  <si>
    <t>0.167</t>
  </si>
  <si>
    <t>0.0967</t>
  </si>
  <si>
    <t>(0.00903)</t>
  </si>
  <si>
    <t>18,545</t>
  </si>
  <si>
    <t>0.0310</t>
  </si>
  <si>
    <t>(0.00286)</t>
  </si>
  <si>
    <t>0.0301</t>
  </si>
  <si>
    <t>(0.00367)</t>
  </si>
  <si>
    <t>(0.00809)</t>
  </si>
  <si>
    <t>0.0968</t>
  </si>
  <si>
    <t>(0.00646)</t>
  </si>
  <si>
    <t>0.0946</t>
  </si>
  <si>
    <t>(0.00838)</t>
  </si>
  <si>
    <t>0.381</t>
  </si>
  <si>
    <t>(0.00742)</t>
  </si>
  <si>
    <t>0.402</t>
  </si>
  <si>
    <t>0.354</t>
  </si>
  <si>
    <t>(0.00935)</t>
  </si>
  <si>
    <t>0.351</t>
  </si>
  <si>
    <t>(0.0133)</t>
  </si>
  <si>
    <t>0.334</t>
  </si>
  <si>
    <t>0.309</t>
  </si>
  <si>
    <t>(0.00860)</t>
  </si>
  <si>
    <t>0.359</t>
  </si>
  <si>
    <t>(0.0103)</t>
  </si>
  <si>
    <t>0.127</t>
  </si>
  <si>
    <t>(0.00615)</t>
  </si>
  <si>
    <t>0.162</t>
  </si>
  <si>
    <t>(0.0156)</t>
  </si>
  <si>
    <t>16,181</t>
  </si>
  <si>
    <t>0.0366</t>
  </si>
  <si>
    <t>(0.00270)</t>
  </si>
  <si>
    <t>0.0279</t>
  </si>
  <si>
    <t>(0.00283)</t>
  </si>
  <si>
    <t>0.0365</t>
  </si>
  <si>
    <t>(0.00495)</t>
  </si>
  <si>
    <t>0.130</t>
  </si>
  <si>
    <t>(0.00787)</t>
  </si>
  <si>
    <t>0.109</t>
  </si>
  <si>
    <t>(0.00653)</t>
  </si>
  <si>
    <t>(0.0109)</t>
  </si>
  <si>
    <t>0.388</t>
  </si>
  <si>
    <t>(0.00815)</t>
  </si>
  <si>
    <t>0.403</t>
  </si>
  <si>
    <t>(0.0104)</t>
  </si>
  <si>
    <t>(0.00961)</t>
  </si>
  <si>
    <t>(0.0137)</t>
  </si>
  <si>
    <t>0.341</t>
  </si>
  <si>
    <t>(0.00785)</t>
  </si>
  <si>
    <t>0.322</t>
  </si>
  <si>
    <t>(0.0107)</t>
  </si>
  <si>
    <t>0.368</t>
  </si>
  <si>
    <t>(0.00993)</t>
  </si>
  <si>
    <t>(0.0146)</t>
  </si>
  <si>
    <t>(0.00540)</t>
  </si>
  <si>
    <t>(0.00749)</t>
  </si>
  <si>
    <t>(0.00850)</t>
  </si>
  <si>
    <t>10,710</t>
  </si>
  <si>
    <t>0.0367</t>
  </si>
  <si>
    <t>(0.00267)</t>
  </si>
  <si>
    <t>0.0277</t>
  </si>
  <si>
    <t>(0.00280)</t>
  </si>
  <si>
    <t>0.0331</t>
  </si>
  <si>
    <t>(0.00498)</t>
  </si>
  <si>
    <t>(0.00491)</t>
  </si>
  <si>
    <t>0.0966</t>
  </si>
  <si>
    <t>(0.00558)</t>
  </si>
  <si>
    <t>0.108</t>
  </si>
  <si>
    <t>(0.00947)</t>
  </si>
  <si>
    <t>(0.00795)</t>
  </si>
  <si>
    <t>0.409</t>
  </si>
  <si>
    <t>(0.0108)</t>
  </si>
  <si>
    <t>(0.00907)</t>
  </si>
  <si>
    <t>(0.0139)</t>
  </si>
  <si>
    <t>0.323</t>
  </si>
  <si>
    <t>0.363</t>
  </si>
  <si>
    <t>(0.0122)</t>
  </si>
  <si>
    <t>0.148</t>
  </si>
  <si>
    <t>(0.00853)</t>
  </si>
  <si>
    <t>11,204</t>
  </si>
  <si>
    <t>Receiving help: None &amp; Giving help: None</t>
  </si>
  <si>
    <t>Receiving help: None &amp; Giving help: At least to 1 other</t>
  </si>
  <si>
    <t>Receiving help: At least from 1 other &amp; Giving help: At least to 1 other</t>
  </si>
  <si>
    <t>(0.0155)</t>
  </si>
  <si>
    <t>(0.0135)</t>
  </si>
  <si>
    <t>(0.0157)</t>
  </si>
  <si>
    <t>(0.00900)</t>
  </si>
  <si>
    <t>(0.0116)</t>
  </si>
  <si>
    <t>(0.00899)</t>
  </si>
  <si>
    <t>0.126</t>
  </si>
  <si>
    <t>0.104</t>
  </si>
  <si>
    <t>0.163</t>
  </si>
  <si>
    <t>0.0959</t>
  </si>
  <si>
    <t>(0.0106)</t>
  </si>
  <si>
    <t>(0.00746)</t>
  </si>
  <si>
    <t>(0.00713)</t>
  </si>
  <si>
    <t>0.169</t>
  </si>
  <si>
    <t>0.120</t>
  </si>
  <si>
    <t>(0.00927)</t>
  </si>
  <si>
    <t>(0.00750)</t>
  </si>
  <si>
    <t>(0.00851)</t>
  </si>
  <si>
    <t>(0.00632)</t>
  </si>
  <si>
    <t>(0.00590)</t>
  </si>
  <si>
    <t>(0.00502)</t>
  </si>
  <si>
    <t>0.0927</t>
  </si>
  <si>
    <t>0.0853</t>
  </si>
  <si>
    <t>0.0976</t>
  </si>
  <si>
    <t>0.0892</t>
  </si>
  <si>
    <t>0.0990</t>
  </si>
  <si>
    <t>(0.00543)</t>
  </si>
  <si>
    <t>(0.00423)</t>
  </si>
  <si>
    <t>(0.00427)</t>
  </si>
  <si>
    <t>(0.00365)</t>
  </si>
  <si>
    <t>0.339</t>
  </si>
  <si>
    <t>(0.0124)</t>
  </si>
  <si>
    <t>(0.0143)</t>
  </si>
  <si>
    <t>(0.0111)</t>
  </si>
  <si>
    <t>(0.00881)</t>
  </si>
  <si>
    <t>0.350</t>
  </si>
  <si>
    <t>0.358</t>
  </si>
  <si>
    <t>0.304</t>
  </si>
  <si>
    <t>(0.00902)</t>
  </si>
  <si>
    <t>(0.00984)</t>
  </si>
  <si>
    <t>(0.00855)</t>
  </si>
  <si>
    <t>(0.00751)</t>
  </si>
  <si>
    <t>(0.00733)</t>
  </si>
  <si>
    <t>0.367</t>
  </si>
  <si>
    <t>0.366</t>
  </si>
  <si>
    <t>0.344</t>
  </si>
  <si>
    <t>(0.00574)</t>
  </si>
  <si>
    <t>(0.00504)</t>
  </si>
  <si>
    <t>(0.00794)</t>
  </si>
  <si>
    <t>(0.00681)</t>
  </si>
  <si>
    <t>(0.00569)</t>
  </si>
  <si>
    <t>0.320</t>
  </si>
  <si>
    <t>(0.00707)</t>
  </si>
  <si>
    <t>(0.00586)</t>
  </si>
  <si>
    <t>(0.0140)</t>
  </si>
  <si>
    <t>(0.00683)</t>
  </si>
  <si>
    <t>0.382</t>
  </si>
  <si>
    <t>0.353</t>
  </si>
  <si>
    <t>0.396</t>
  </si>
  <si>
    <t>(0.00910)</t>
  </si>
  <si>
    <t>(0.00960)</t>
  </si>
  <si>
    <t>(0.00936)</t>
  </si>
  <si>
    <t>(0.00702)</t>
  </si>
  <si>
    <t>0.346</t>
  </si>
  <si>
    <t>0.390</t>
  </si>
  <si>
    <t>(0.00944)</t>
  </si>
  <si>
    <t>(0.00544)</t>
  </si>
  <si>
    <t>0.405</t>
  </si>
  <si>
    <t>0.410</t>
  </si>
  <si>
    <t>0.399</t>
  </si>
  <si>
    <t>(0.00797)</t>
  </si>
  <si>
    <t>(0.00731)</t>
  </si>
  <si>
    <t>(0.00626)</t>
  </si>
  <si>
    <t>(0.00489)</t>
  </si>
  <si>
    <t>(0.00956)</t>
  </si>
  <si>
    <t>(0.00918)</t>
  </si>
  <si>
    <t>(0.00755)</t>
  </si>
  <si>
    <t>0.132</t>
  </si>
  <si>
    <t>(0.00562)</t>
  </si>
  <si>
    <t>(0.00651)</t>
  </si>
  <si>
    <t>(0.00645)</t>
  </si>
  <si>
    <t>(0.00493)</t>
  </si>
  <si>
    <t>(0.00456)</t>
  </si>
  <si>
    <t>0.0962</t>
  </si>
  <si>
    <t>0.0918</t>
  </si>
  <si>
    <t>(0.00537)</t>
  </si>
  <si>
    <t>(0.00473)</t>
  </si>
  <si>
    <t>0.146</t>
  </si>
  <si>
    <t>0.142</t>
  </si>
  <si>
    <t>(0.00582)</t>
  </si>
  <si>
    <t>(0.00407)</t>
  </si>
  <si>
    <t>0.129</t>
  </si>
  <si>
    <t>(0.00374)</t>
  </si>
  <si>
    <t>0.0362</t>
  </si>
  <si>
    <t>(0.00496)</t>
  </si>
  <si>
    <t>(0.00373)</t>
  </si>
  <si>
    <t>(0.00468)</t>
  </si>
  <si>
    <t>0.0306</t>
  </si>
  <si>
    <t>0.0494</t>
  </si>
  <si>
    <t>0.0530</t>
  </si>
  <si>
    <t>0.0581</t>
  </si>
  <si>
    <t>(0.00282)</t>
  </si>
  <si>
    <t>(0.00284)</t>
  </si>
  <si>
    <t>(0.00238)</t>
  </si>
  <si>
    <t>(0.00250)</t>
  </si>
  <si>
    <t>0.0280</t>
  </si>
  <si>
    <t>0.0307</t>
  </si>
  <si>
    <t>0.0278</t>
  </si>
  <si>
    <t>0.0323</t>
  </si>
  <si>
    <t>(0.00475)</t>
  </si>
  <si>
    <t>(0.00384)</t>
  </si>
  <si>
    <t>(0.00394)</t>
  </si>
  <si>
    <t>(0.00334)</t>
  </si>
  <si>
    <t>(0.00366)</t>
  </si>
  <si>
    <t>(0.00303)</t>
  </si>
  <si>
    <t>0.0452</t>
  </si>
  <si>
    <t>0.0439</t>
  </si>
  <si>
    <t>0.0498</t>
  </si>
  <si>
    <t>0.0525</t>
  </si>
  <si>
    <t>0.0605</t>
  </si>
  <si>
    <t>0.0612</t>
  </si>
  <si>
    <t>(0.00268)</t>
  </si>
  <si>
    <t>(0.00258)</t>
  </si>
  <si>
    <t>(0.00223)</t>
  </si>
  <si>
    <t>(0.00211)</t>
  </si>
  <si>
    <t>0.0368</t>
  </si>
  <si>
    <t>0.0398</t>
  </si>
  <si>
    <t>0.0468</t>
  </si>
  <si>
    <t>0.0526</t>
  </si>
  <si>
    <t>Receiving help: At least to 1 other &amp; Giving help: None</t>
  </si>
  <si>
    <t>0.0528</t>
  </si>
  <si>
    <t>(0.00212)</t>
  </si>
  <si>
    <t>0.0613</t>
  </si>
  <si>
    <t>0.0355</t>
  </si>
  <si>
    <t>(0.00253)</t>
  </si>
  <si>
    <t>0.0584</t>
  </si>
  <si>
    <t>(0.00342)</t>
  </si>
  <si>
    <t>(0.00383)</t>
  </si>
  <si>
    <t>(0.00461)</t>
  </si>
  <si>
    <t>(0.00490)</t>
  </si>
  <si>
    <t>(0.00617)</t>
  </si>
  <si>
    <t>(0.00677)</t>
  </si>
  <si>
    <t>(0.00571)</t>
  </si>
  <si>
    <t>(0.00628)</t>
  </si>
  <si>
    <t>0.300</t>
  </si>
  <si>
    <t>(0.00883)</t>
  </si>
  <si>
    <t>(0.00716)</t>
  </si>
  <si>
    <t>(0.00890)</t>
  </si>
  <si>
    <t>0.0470</t>
  </si>
  <si>
    <t>0.0599</t>
  </si>
  <si>
    <t>(0.00362)</t>
  </si>
  <si>
    <t>0.0322</t>
  </si>
  <si>
    <t>0.0534</t>
  </si>
  <si>
    <t>(0.00573)</t>
  </si>
  <si>
    <t>(0.00538)</t>
  </si>
  <si>
    <t>0.0950</t>
  </si>
  <si>
    <t>(0.00554)</t>
  </si>
  <si>
    <t>(0.00661)</t>
  </si>
  <si>
    <t>(0.00906)</t>
  </si>
  <si>
    <t>0.291</t>
  </si>
  <si>
    <t>(0.00734)</t>
  </si>
  <si>
    <t>0.303</t>
  </si>
  <si>
    <t>0.123</t>
  </si>
  <si>
    <t>0.0964</t>
  </si>
  <si>
    <t>(0.00602)</t>
  </si>
  <si>
    <t>(0.00807)</t>
  </si>
  <si>
    <t>(0.0115)</t>
  </si>
  <si>
    <t>0.0422</t>
  </si>
  <si>
    <t>0.0524</t>
  </si>
  <si>
    <t>(0.00611)</t>
  </si>
  <si>
    <t>0.0919</t>
  </si>
  <si>
    <t>(0.00803)</t>
  </si>
  <si>
    <t>(0.00625)</t>
  </si>
  <si>
    <t>(0.00703)</t>
  </si>
  <si>
    <t>(0.00885)</t>
  </si>
  <si>
    <t>(0.00792)</t>
  </si>
  <si>
    <t>0.113</t>
  </si>
  <si>
    <t>0.0889</t>
  </si>
  <si>
    <t>(0.00633)</t>
  </si>
  <si>
    <t>(0.00748)</t>
  </si>
  <si>
    <t>0.0954</t>
  </si>
  <si>
    <t>(0.00896)</t>
  </si>
  <si>
    <t>0.0406</t>
  </si>
  <si>
    <t>(0.00262)</t>
  </si>
  <si>
    <t>0.0497</t>
  </si>
  <si>
    <t>(0.00395)</t>
  </si>
  <si>
    <t>0.0316</t>
  </si>
  <si>
    <t>(0.00288)</t>
  </si>
  <si>
    <t>0.0311</t>
  </si>
  <si>
    <t>(0.00507)</t>
  </si>
  <si>
    <t>0.0979</t>
  </si>
  <si>
    <t>(0.00650)</t>
  </si>
  <si>
    <t>0.0965</t>
  </si>
  <si>
    <t>0.383</t>
  </si>
  <si>
    <t>(0.00735)</t>
  </si>
  <si>
    <t>(0.00952)</t>
  </si>
  <si>
    <t>0.356</t>
  </si>
  <si>
    <t>(0.00930)</t>
  </si>
  <si>
    <t>(0.00791)</t>
  </si>
  <si>
    <t>(0.00714)</t>
  </si>
  <si>
    <t>(0.00865)</t>
  </si>
  <si>
    <t>0.0984</t>
  </si>
  <si>
    <t>(0.00854)</t>
  </si>
  <si>
    <t>0.159</t>
  </si>
  <si>
    <t>0.161</t>
  </si>
  <si>
    <t>(0.0154)</t>
  </si>
  <si>
    <t>0.135</t>
  </si>
  <si>
    <t>0.0442</t>
  </si>
  <si>
    <t>(0.00385)</t>
  </si>
  <si>
    <t>(0.00281)</t>
  </si>
  <si>
    <t>(0.00584)</t>
  </si>
  <si>
    <t>(0.0138)</t>
  </si>
  <si>
    <t>(0.00784)</t>
  </si>
  <si>
    <t>(0.00983)</t>
  </si>
  <si>
    <t>(0.0144)</t>
  </si>
  <si>
    <t>(0.00541)</t>
  </si>
  <si>
    <t>0.0850</t>
  </si>
  <si>
    <t>(0.0136)</t>
  </si>
  <si>
    <t>0.0447</t>
  </si>
  <si>
    <t>(0.00467)</t>
  </si>
  <si>
    <t>0.0276</t>
  </si>
  <si>
    <t>(0.00279)</t>
  </si>
  <si>
    <t>(0.00777)</t>
  </si>
  <si>
    <t>0.0960</t>
  </si>
  <si>
    <t>(0.00948)</t>
  </si>
  <si>
    <t>0.408</t>
  </si>
  <si>
    <t>0.364</t>
  </si>
  <si>
    <t>(0.00911)</t>
  </si>
  <si>
    <t>(0.00741)</t>
  </si>
  <si>
    <t>0.0941</t>
  </si>
  <si>
    <t>(0.00933)</t>
  </si>
  <si>
    <t>0.150</t>
  </si>
  <si>
    <t>0.128</t>
  </si>
  <si>
    <t>0.0529</t>
  </si>
  <si>
    <t>0.0609</t>
  </si>
  <si>
    <t>(0.00301)</t>
  </si>
  <si>
    <t>(0.00252)</t>
  </si>
  <si>
    <t>0.0580</t>
  </si>
  <si>
    <t>(0.00497)</t>
  </si>
  <si>
    <t>(0.00752)</t>
  </si>
  <si>
    <t>0.103</t>
  </si>
  <si>
    <t>(0.00619)</t>
  </si>
  <si>
    <t>(0.00680)</t>
  </si>
  <si>
    <t>(0.00786)</t>
  </si>
  <si>
    <t>(0.00464)</t>
  </si>
  <si>
    <t>0.296</t>
  </si>
  <si>
    <t>(0.00631)</t>
  </si>
  <si>
    <t>(0.00884)</t>
  </si>
  <si>
    <t>0.100</t>
  </si>
  <si>
    <t>(0.00715)</t>
  </si>
  <si>
    <t>0.0606</t>
  </si>
  <si>
    <t>0.0533</t>
  </si>
  <si>
    <t>(0.00580)</t>
  </si>
  <si>
    <t>(0.00921)</t>
  </si>
  <si>
    <t>(0.00555)</t>
  </si>
  <si>
    <t>(0.00658)</t>
  </si>
  <si>
    <t>(0.00679)</t>
  </si>
  <si>
    <t>(0.00732)</t>
  </si>
  <si>
    <t>(0.0112)</t>
  </si>
  <si>
    <t>(0.00430)</t>
  </si>
  <si>
    <t>0.0952</t>
  </si>
  <si>
    <t>(0.00237)</t>
  </si>
  <si>
    <t>0.0491</t>
  </si>
  <si>
    <t>(0.00608)</t>
  </si>
  <si>
    <t>0.0920</t>
  </si>
  <si>
    <t>(0.00801)</t>
  </si>
  <si>
    <t>0.407</t>
  </si>
  <si>
    <t>(0.00891)</t>
  </si>
  <si>
    <t>(0.00783)</t>
  </si>
  <si>
    <t>(0.00421)</t>
  </si>
  <si>
    <t>0.0884</t>
  </si>
  <si>
    <t>(0.00745)</t>
  </si>
  <si>
    <t>0.0956</t>
  </si>
  <si>
    <t>0.0402</t>
  </si>
  <si>
    <t>(0.00261)</t>
  </si>
  <si>
    <t>0.0502</t>
  </si>
  <si>
    <t>(0.00400)</t>
  </si>
  <si>
    <t>(0.00287)</t>
  </si>
  <si>
    <t>0.0303</t>
  </si>
  <si>
    <t>(0.00370)</t>
  </si>
  <si>
    <t>(0.00817)</t>
  </si>
  <si>
    <t>(0.00647)</t>
  </si>
  <si>
    <t>0.0949</t>
  </si>
  <si>
    <t>(0.00844)</t>
  </si>
  <si>
    <t>(0.00736)</t>
  </si>
  <si>
    <t>0.404</t>
  </si>
  <si>
    <t>(0.00949)</t>
  </si>
  <si>
    <t>0.352</t>
  </si>
  <si>
    <t>(0.0134)</t>
  </si>
  <si>
    <t>(0.00788)</t>
  </si>
  <si>
    <t>0.333</t>
  </si>
  <si>
    <t>0.307</t>
  </si>
  <si>
    <t>(0.00868)</t>
  </si>
  <si>
    <t>0.0969</t>
  </si>
  <si>
    <t>(0.00847)</t>
  </si>
  <si>
    <t>0.164</t>
  </si>
  <si>
    <t>(0.00386)</t>
  </si>
  <si>
    <t>0.0275</t>
  </si>
  <si>
    <t>0.0358</t>
  </si>
  <si>
    <t>(0.00494)</t>
  </si>
  <si>
    <t>(0.00789)</t>
  </si>
  <si>
    <t>(0.00648)</t>
  </si>
  <si>
    <t>(0.00959)</t>
  </si>
  <si>
    <t>(0.00535)</t>
  </si>
  <si>
    <t>0.0861</t>
  </si>
  <si>
    <t>(0.00740)</t>
  </si>
  <si>
    <t>0.106</t>
  </si>
  <si>
    <t>(0.00266)</t>
  </si>
  <si>
    <t>0.0450</t>
  </si>
  <si>
    <t>0.0283</t>
  </si>
  <si>
    <t>0.0333</t>
  </si>
  <si>
    <t>0.0978</t>
  </si>
  <si>
    <t>(0.00565)</t>
  </si>
  <si>
    <t>(0.00950)</t>
  </si>
  <si>
    <t>(0.00793)</t>
  </si>
  <si>
    <t>(0.00908)</t>
  </si>
  <si>
    <t>(0.00898)</t>
  </si>
  <si>
    <t>(0.0123)</t>
  </si>
  <si>
    <t>0.0933</t>
  </si>
  <si>
    <t>(0.00931)</t>
  </si>
  <si>
    <t>(0.00849)</t>
  </si>
  <si>
    <t>0.0607</t>
  </si>
  <si>
    <t>0.0361</t>
  </si>
  <si>
    <t>(0.00254)</t>
  </si>
  <si>
    <t>(0.00470)</t>
  </si>
  <si>
    <t>(0.00753)</t>
  </si>
  <si>
    <t>(0.00568)</t>
  </si>
  <si>
    <t>0.117</t>
  </si>
  <si>
    <t>0.101</t>
  </si>
  <si>
    <t>(0.00712)</t>
  </si>
  <si>
    <t>0.0601</t>
  </si>
  <si>
    <t>0.0320</t>
  </si>
  <si>
    <t>(0.00576)</t>
  </si>
  <si>
    <t>(0.00919)</t>
  </si>
  <si>
    <t>(0.00655)</t>
  </si>
  <si>
    <t>(0.00730)</t>
  </si>
  <si>
    <t>0.0961</t>
  </si>
  <si>
    <t>(0.00596)</t>
  </si>
  <si>
    <t>0.170</t>
  </si>
  <si>
    <t>(0.00810)</t>
  </si>
  <si>
    <t>(0.00236)</t>
  </si>
  <si>
    <t>0.0917</t>
  </si>
  <si>
    <t>(0.00487)</t>
  </si>
  <si>
    <t>(0.00806)</t>
  </si>
  <si>
    <t>(0.00701)</t>
  </si>
  <si>
    <t>0.0888</t>
  </si>
  <si>
    <t>(0.00743)</t>
  </si>
  <si>
    <t>0.0407</t>
  </si>
  <si>
    <t>(0.00263)</t>
  </si>
  <si>
    <t>0.0499</t>
  </si>
  <si>
    <t>(0.00396)</t>
  </si>
  <si>
    <t>0.0313</t>
  </si>
  <si>
    <t>0.0305</t>
  </si>
  <si>
    <t>(0.00369)</t>
  </si>
  <si>
    <t>0.121</t>
  </si>
  <si>
    <t>(0.00513)</t>
  </si>
  <si>
    <t>(0.00823)</t>
  </si>
  <si>
    <t>0.0973</t>
  </si>
  <si>
    <t>(0.00652)</t>
  </si>
  <si>
    <t>0.384</t>
  </si>
  <si>
    <t>0.355</t>
  </si>
  <si>
    <t>(0.00938)</t>
  </si>
  <si>
    <t>0.331</t>
  </si>
  <si>
    <t>(0.00862)</t>
  </si>
  <si>
    <t>0.0974</t>
  </si>
  <si>
    <t>0.136</t>
  </si>
  <si>
    <t>0.0437</t>
  </si>
  <si>
    <t>(0.00380)</t>
  </si>
  <si>
    <t>(0.00278)</t>
  </si>
  <si>
    <t>(0.00957)</t>
  </si>
  <si>
    <t>(0.00986)</t>
  </si>
  <si>
    <t>(0.0145)</t>
  </si>
  <si>
    <t>0.0859</t>
  </si>
  <si>
    <t>0.0457</t>
  </si>
  <si>
    <t>(0.00480)</t>
  </si>
  <si>
    <t>0.0330</t>
  </si>
  <si>
    <t>(0.00954)</t>
  </si>
  <si>
    <t>0.321</t>
  </si>
  <si>
    <t>0.0913</t>
  </si>
  <si>
    <t>(0.00924)</t>
  </si>
  <si>
    <t>(0.00858)</t>
  </si>
  <si>
    <t>Excellent</t>
  </si>
  <si>
    <t>Very good</t>
  </si>
  <si>
    <t>Good</t>
  </si>
  <si>
    <t>Fair</t>
  </si>
  <si>
    <t>Poor</t>
  </si>
  <si>
    <t>Health</t>
  </si>
  <si>
    <t>Interaction effect</t>
  </si>
  <si>
    <t>Number of observations</t>
  </si>
  <si>
    <t>The values in italic highlight in the row Receiving help: At least from 1 other &amp; Giving help: At least to 1 other, where the probability of being in the given health category is higher than in the category Receiving help: At least to 1 other &amp; Giving help: None.</t>
  </si>
  <si>
    <t>Effect of helping out</t>
  </si>
  <si>
    <t>Robust standard errors in parentheses.</t>
  </si>
  <si>
    <t xml:space="preserve">The probabilities are provided by cross-sectional stereotype logistic estimators with the same variables, interactions, and calibrated weights as the REO. </t>
  </si>
  <si>
    <t>SHP</t>
  </si>
  <si>
    <t>Robust standard errors in parentheses. SPH = Self-Perceived Health status.</t>
  </si>
  <si>
    <t>(0.00926)</t>
  </si>
  <si>
    <t>(0.00873)</t>
  </si>
  <si>
    <t>(0.00636)</t>
  </si>
  <si>
    <t>0.0916</t>
  </si>
  <si>
    <t>0.0877</t>
  </si>
  <si>
    <t>0.1000</t>
  </si>
  <si>
    <t>0.0895</t>
  </si>
  <si>
    <t>(0.00676)</t>
  </si>
  <si>
    <t>(0.00711)</t>
  </si>
  <si>
    <t>(0.00585)</t>
  </si>
  <si>
    <t>(0.00955)</t>
  </si>
  <si>
    <t>(0.00796)</t>
  </si>
  <si>
    <t>0.391</t>
  </si>
  <si>
    <t>(0.00472)</t>
  </si>
  <si>
    <t>0.140</t>
  </si>
  <si>
    <t>0.118</t>
  </si>
  <si>
    <t>(0.00477)</t>
  </si>
  <si>
    <t>(0.00378)</t>
  </si>
  <si>
    <t>(0.00391)</t>
  </si>
  <si>
    <t>0.0455</t>
  </si>
  <si>
    <t>0.0433</t>
  </si>
  <si>
    <t>0.0492</t>
  </si>
  <si>
    <t>0.0523</t>
  </si>
  <si>
    <t>0.0604</t>
  </si>
  <si>
    <t>0.0614</t>
  </si>
  <si>
    <t>(0.00259)</t>
  </si>
  <si>
    <t>0.0397</t>
  </si>
  <si>
    <t>0.0531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</si>
</sst>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 tint="-0.34998626667073579"/>
      <name val="Calibri"/>
      <family val="2"/>
    </font>
    <font>
      <sz val="9"/>
      <name val="Times New Roman"/>
      <family val="1"/>
    </font>
    <font>
      <i/>
      <sz val="9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8" fillId="0" borderId="0" xfId="0" applyFont="1"/>
    <xf numFmtId="0" fontId="19" fillId="0" borderId="10" xfId="0" applyFont="1" applyBorder="1"/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/>
    <xf numFmtId="0" fontId="19" fillId="0" borderId="11" xfId="0" applyFont="1" applyBorder="1" applyAlignment="1">
      <alignment horizontal="center"/>
    </xf>
    <xf numFmtId="0" fontId="19" fillId="0" borderId="0" xfId="0" applyFont="1" applyAlignment="1">
      <alignment vertical="center" textRotation="90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 wrapText="1"/>
    </xf>
    <xf numFmtId="0" fontId="19" fillId="0" borderId="13" xfId="0" applyFont="1" applyBorder="1" applyAlignment="1">
      <alignment horizontal="center" vertical="center" textRotation="90"/>
    </xf>
    <xf numFmtId="0" fontId="19" fillId="0" borderId="0" xfId="0" applyFont="1" applyAlignment="1">
      <alignment horizontal="center" vertical="center" textRotation="9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9C83-7E95-40FC-8818-2EC0DD14081D}">
  <dimension ref="A1:O39"/>
  <sheetViews>
    <sheetView tabSelected="1" workbookViewId="0">
      <selection activeCell="E31" sqref="E31"/>
    </sheetView>
  </sheetViews>
  <sheetFormatPr defaultRowHeight="12.75" x14ac:dyDescent="0.2"/>
  <cols>
    <col min="1" max="1" width="4.42578125" customWidth="1"/>
    <col min="2" max="2" width="51.140625" customWidth="1"/>
    <col min="3" max="8" width="8.85546875" customWidth="1"/>
    <col min="10" max="15" width="9.140625" style="6"/>
  </cols>
  <sheetData>
    <row r="1" spans="1:15" x14ac:dyDescent="0.2">
      <c r="A1" s="12" t="s">
        <v>600</v>
      </c>
      <c r="B1" s="12" t="s">
        <v>594</v>
      </c>
      <c r="C1" s="13">
        <v>2011</v>
      </c>
      <c r="D1" s="13">
        <v>2013</v>
      </c>
      <c r="E1" s="13">
        <v>2015</v>
      </c>
      <c r="F1" s="13">
        <v>2017</v>
      </c>
      <c r="G1" s="13">
        <v>2020</v>
      </c>
      <c r="H1" s="13">
        <v>2022</v>
      </c>
      <c r="J1" s="15" t="s">
        <v>597</v>
      </c>
      <c r="K1" s="15"/>
      <c r="L1" s="15"/>
      <c r="M1" s="15"/>
      <c r="N1" s="15"/>
      <c r="O1" s="15"/>
    </row>
    <row r="2" spans="1:15" x14ac:dyDescent="0.2">
      <c r="A2" s="17" t="s">
        <v>588</v>
      </c>
      <c r="B2" s="8" t="s">
        <v>336</v>
      </c>
      <c r="C2" s="9" t="s">
        <v>4</v>
      </c>
      <c r="D2" s="9" t="s">
        <v>51</v>
      </c>
      <c r="E2" s="9" t="s">
        <v>98</v>
      </c>
      <c r="F2" s="9" t="s">
        <v>128</v>
      </c>
      <c r="G2" s="9" t="s">
        <v>156</v>
      </c>
      <c r="H2" s="9" t="s">
        <v>184</v>
      </c>
    </row>
    <row r="3" spans="1:15" x14ac:dyDescent="0.2">
      <c r="A3" s="18"/>
      <c r="B3" s="8"/>
      <c r="C3" s="9" t="s">
        <v>5</v>
      </c>
      <c r="D3" s="9" t="s">
        <v>52</v>
      </c>
      <c r="E3" s="9" t="s">
        <v>99</v>
      </c>
      <c r="F3" s="9" t="s">
        <v>129</v>
      </c>
      <c r="G3" s="9" t="s">
        <v>157</v>
      </c>
      <c r="H3" s="9" t="s">
        <v>185</v>
      </c>
    </row>
    <row r="4" spans="1:15" x14ac:dyDescent="0.2">
      <c r="A4" s="18"/>
      <c r="B4" s="8" t="s">
        <v>206</v>
      </c>
      <c r="C4" s="10" t="s">
        <v>6</v>
      </c>
      <c r="D4" s="10" t="s">
        <v>53</v>
      </c>
      <c r="E4" s="10" t="s">
        <v>100</v>
      </c>
      <c r="F4" s="9" t="s">
        <v>130</v>
      </c>
      <c r="G4" s="10" t="s">
        <v>158</v>
      </c>
      <c r="H4" s="10" t="s">
        <v>186</v>
      </c>
      <c r="J4" s="6" t="b">
        <f>C4&gt;C2</f>
        <v>1</v>
      </c>
      <c r="K4" s="6" t="b">
        <f t="shared" ref="K4:N4" si="0">D4&gt;D2</f>
        <v>1</v>
      </c>
      <c r="L4" s="6" t="b">
        <f t="shared" si="0"/>
        <v>1</v>
      </c>
      <c r="M4" s="6" t="b">
        <f t="shared" si="0"/>
        <v>0</v>
      </c>
      <c r="N4" s="6" t="b">
        <f t="shared" si="0"/>
        <v>1</v>
      </c>
      <c r="O4" s="6" t="b">
        <f>H4&gt;H2</f>
        <v>1</v>
      </c>
    </row>
    <row r="5" spans="1:15" x14ac:dyDescent="0.2">
      <c r="A5" s="18"/>
      <c r="B5" s="8"/>
      <c r="C5" s="9" t="s">
        <v>7</v>
      </c>
      <c r="D5" s="9" t="s">
        <v>54</v>
      </c>
      <c r="E5" s="9" t="s">
        <v>101</v>
      </c>
      <c r="F5" s="9" t="s">
        <v>131</v>
      </c>
      <c r="G5" s="9" t="s">
        <v>159</v>
      </c>
      <c r="H5" s="9" t="s">
        <v>187</v>
      </c>
    </row>
    <row r="6" spans="1:15" x14ac:dyDescent="0.2">
      <c r="A6" s="18" t="s">
        <v>589</v>
      </c>
      <c r="B6" s="8" t="s">
        <v>336</v>
      </c>
      <c r="C6" s="9" t="s">
        <v>14</v>
      </c>
      <c r="D6" s="9" t="s">
        <v>60</v>
      </c>
      <c r="E6" s="9" t="s">
        <v>105</v>
      </c>
      <c r="F6" s="9" t="s">
        <v>133</v>
      </c>
      <c r="G6" s="9" t="s">
        <v>162</v>
      </c>
      <c r="H6" s="9" t="s">
        <v>189</v>
      </c>
    </row>
    <row r="7" spans="1:15" x14ac:dyDescent="0.2">
      <c r="A7" s="18"/>
      <c r="B7" s="8"/>
      <c r="C7" s="9" t="s">
        <v>15</v>
      </c>
      <c r="D7" s="9" t="s">
        <v>61</v>
      </c>
      <c r="E7" s="9" t="s">
        <v>106</v>
      </c>
      <c r="F7" s="9" t="s">
        <v>134</v>
      </c>
      <c r="G7" s="9" t="s">
        <v>163</v>
      </c>
      <c r="H7" s="9" t="s">
        <v>190</v>
      </c>
    </row>
    <row r="8" spans="1:15" x14ac:dyDescent="0.2">
      <c r="A8" s="18"/>
      <c r="B8" s="8" t="s">
        <v>206</v>
      </c>
      <c r="C8" s="10" t="s">
        <v>16</v>
      </c>
      <c r="D8" s="10" t="s">
        <v>62</v>
      </c>
      <c r="E8" s="10" t="s">
        <v>107</v>
      </c>
      <c r="F8" s="9" t="s">
        <v>135</v>
      </c>
      <c r="G8" s="10" t="s">
        <v>160</v>
      </c>
      <c r="H8" s="10" t="s">
        <v>191</v>
      </c>
      <c r="J8" s="6" t="b">
        <f t="shared" ref="J8" si="1">C8&gt;C6</f>
        <v>1</v>
      </c>
      <c r="K8" s="6" t="b">
        <f t="shared" ref="K8" si="2">D8&gt;D6</f>
        <v>1</v>
      </c>
      <c r="L8" s="6" t="b">
        <f t="shared" ref="L8" si="3">E8&gt;E6</f>
        <v>1</v>
      </c>
      <c r="M8" s="6" t="b">
        <f t="shared" ref="M8" si="4">F8&gt;F6</f>
        <v>0</v>
      </c>
      <c r="N8" s="6" t="b">
        <f t="shared" ref="N8:O8" si="5">G8&gt;G6</f>
        <v>1</v>
      </c>
      <c r="O8" s="6" t="b">
        <f t="shared" si="5"/>
        <v>1</v>
      </c>
    </row>
    <row r="9" spans="1:15" x14ac:dyDescent="0.2">
      <c r="A9" s="18"/>
      <c r="B9" s="8"/>
      <c r="C9" s="9" t="s">
        <v>17</v>
      </c>
      <c r="D9" s="9" t="s">
        <v>63</v>
      </c>
      <c r="E9" s="9" t="s">
        <v>108</v>
      </c>
      <c r="F9" s="9" t="s">
        <v>136</v>
      </c>
      <c r="G9" s="9" t="s">
        <v>164</v>
      </c>
      <c r="H9" s="9" t="s">
        <v>192</v>
      </c>
    </row>
    <row r="10" spans="1:15" x14ac:dyDescent="0.2">
      <c r="A10" s="18" t="s">
        <v>590</v>
      </c>
      <c r="B10" s="8" t="s">
        <v>336</v>
      </c>
      <c r="C10" s="9" t="s">
        <v>23</v>
      </c>
      <c r="D10" s="9" t="s">
        <v>69</v>
      </c>
      <c r="E10" s="9" t="s">
        <v>112</v>
      </c>
      <c r="F10" s="9" t="s">
        <v>140</v>
      </c>
      <c r="G10" s="9" t="s">
        <v>69</v>
      </c>
      <c r="H10" s="9" t="s">
        <v>118</v>
      </c>
    </row>
    <row r="11" spans="1:15" x14ac:dyDescent="0.2">
      <c r="A11" s="18"/>
      <c r="B11" s="8"/>
      <c r="C11" s="9" t="s">
        <v>24</v>
      </c>
      <c r="D11" s="9" t="s">
        <v>70</v>
      </c>
      <c r="E11" s="9" t="s">
        <v>113</v>
      </c>
      <c r="F11" s="9" t="s">
        <v>141</v>
      </c>
      <c r="G11" s="9" t="s">
        <v>169</v>
      </c>
      <c r="H11" s="9" t="s">
        <v>196</v>
      </c>
    </row>
    <row r="12" spans="1:15" x14ac:dyDescent="0.2">
      <c r="A12" s="18"/>
      <c r="B12" s="8" t="s">
        <v>206</v>
      </c>
      <c r="C12" s="10" t="s">
        <v>25</v>
      </c>
      <c r="D12" s="10" t="s">
        <v>71</v>
      </c>
      <c r="E12" s="10" t="s">
        <v>114</v>
      </c>
      <c r="F12" s="9" t="s">
        <v>142</v>
      </c>
      <c r="G12" s="10" t="s">
        <v>109</v>
      </c>
      <c r="H12" s="10" t="s">
        <v>137</v>
      </c>
      <c r="J12" s="6" t="b">
        <f t="shared" ref="J12" si="6">C12&gt;C10</f>
        <v>1</v>
      </c>
      <c r="K12" s="6" t="b">
        <f t="shared" ref="K12" si="7">D12&gt;D10</f>
        <v>1</v>
      </c>
      <c r="L12" s="6" t="b">
        <f t="shared" ref="L12" si="8">E12&gt;E10</f>
        <v>1</v>
      </c>
      <c r="M12" s="6" t="b">
        <f t="shared" ref="M12" si="9">F12&gt;F10</f>
        <v>0</v>
      </c>
      <c r="N12" s="6" t="b">
        <f t="shared" ref="N12:O12" si="10">G12&gt;G10</f>
        <v>1</v>
      </c>
      <c r="O12" s="6" t="b">
        <f t="shared" si="10"/>
        <v>1</v>
      </c>
    </row>
    <row r="13" spans="1:15" x14ac:dyDescent="0.2">
      <c r="A13" s="18"/>
      <c r="B13" s="8"/>
      <c r="C13" s="9" t="s">
        <v>26</v>
      </c>
      <c r="D13" s="9" t="s">
        <v>72</v>
      </c>
      <c r="E13" s="9" t="s">
        <v>115</v>
      </c>
      <c r="F13" s="9" t="s">
        <v>143</v>
      </c>
      <c r="G13" s="9" t="s">
        <v>170</v>
      </c>
      <c r="H13" s="9" t="s">
        <v>197</v>
      </c>
    </row>
    <row r="14" spans="1:15" x14ac:dyDescent="0.2">
      <c r="A14" s="18" t="s">
        <v>591</v>
      </c>
      <c r="B14" s="8" t="s">
        <v>336</v>
      </c>
      <c r="C14" s="9" t="s">
        <v>34</v>
      </c>
      <c r="D14" s="9" t="s">
        <v>78</v>
      </c>
      <c r="E14" s="9" t="s">
        <v>118</v>
      </c>
      <c r="F14" s="9" t="s">
        <v>23</v>
      </c>
      <c r="G14" s="9" t="s">
        <v>175</v>
      </c>
      <c r="H14" s="9" t="s">
        <v>199</v>
      </c>
    </row>
    <row r="15" spans="1:15" x14ac:dyDescent="0.2">
      <c r="A15" s="18"/>
      <c r="B15" s="8"/>
      <c r="C15" s="9" t="s">
        <v>35</v>
      </c>
      <c r="D15" s="9" t="s">
        <v>79</v>
      </c>
      <c r="E15" s="9" t="s">
        <v>119</v>
      </c>
      <c r="F15" s="9" t="s">
        <v>146</v>
      </c>
      <c r="G15" s="9" t="s">
        <v>176</v>
      </c>
      <c r="H15" s="9" t="s">
        <v>45</v>
      </c>
    </row>
    <row r="16" spans="1:15" x14ac:dyDescent="0.2">
      <c r="A16" s="18"/>
      <c r="B16" s="8" t="s">
        <v>206</v>
      </c>
      <c r="C16" s="9" t="s">
        <v>36</v>
      </c>
      <c r="D16" s="9" t="s">
        <v>80</v>
      </c>
      <c r="E16" s="9" t="s">
        <v>120</v>
      </c>
      <c r="F16" s="10" t="s">
        <v>147</v>
      </c>
      <c r="G16" s="9" t="s">
        <v>171</v>
      </c>
      <c r="H16" s="9" t="s">
        <v>142</v>
      </c>
      <c r="J16" s="6" t="b">
        <f t="shared" ref="J16" si="11">C16&gt;C14</f>
        <v>0</v>
      </c>
      <c r="K16" s="6" t="b">
        <f t="shared" ref="K16" si="12">D16&gt;D14</f>
        <v>0</v>
      </c>
      <c r="L16" s="6" t="b">
        <f t="shared" ref="L16" si="13">E16&gt;E14</f>
        <v>0</v>
      </c>
      <c r="M16" s="6" t="b">
        <f t="shared" ref="M16" si="14">F16&gt;F14</f>
        <v>1</v>
      </c>
      <c r="N16" s="6" t="b">
        <f t="shared" ref="N16:O16" si="15">G16&gt;G14</f>
        <v>0</v>
      </c>
      <c r="O16" s="6" t="b">
        <f t="shared" si="15"/>
        <v>0</v>
      </c>
    </row>
    <row r="17" spans="1:15" x14ac:dyDescent="0.2">
      <c r="A17" s="18"/>
      <c r="B17" s="8"/>
      <c r="C17" s="9" t="s">
        <v>37</v>
      </c>
      <c r="D17" s="9" t="s">
        <v>81</v>
      </c>
      <c r="E17" s="9" t="s">
        <v>121</v>
      </c>
      <c r="F17" s="9" t="s">
        <v>148</v>
      </c>
      <c r="G17" s="9" t="s">
        <v>177</v>
      </c>
      <c r="H17" s="9" t="s">
        <v>200</v>
      </c>
    </row>
    <row r="18" spans="1:15" x14ac:dyDescent="0.2">
      <c r="A18" s="18" t="s">
        <v>592</v>
      </c>
      <c r="B18" s="8" t="s">
        <v>336</v>
      </c>
      <c r="C18" s="9" t="s">
        <v>43</v>
      </c>
      <c r="D18" s="9" t="s">
        <v>89</v>
      </c>
      <c r="E18" s="9" t="s">
        <v>124</v>
      </c>
      <c r="F18" s="9" t="s">
        <v>151</v>
      </c>
      <c r="G18" s="9" t="s">
        <v>12</v>
      </c>
      <c r="H18" s="9" t="s">
        <v>201</v>
      </c>
    </row>
    <row r="19" spans="1:15" x14ac:dyDescent="0.2">
      <c r="A19" s="18"/>
      <c r="B19" s="8"/>
      <c r="C19" s="9" t="s">
        <v>44</v>
      </c>
      <c r="D19" s="9" t="s">
        <v>90</v>
      </c>
      <c r="E19" s="9" t="s">
        <v>70</v>
      </c>
      <c r="F19" s="9" t="s">
        <v>74</v>
      </c>
      <c r="G19" s="9" t="s">
        <v>180</v>
      </c>
      <c r="H19" s="9" t="s">
        <v>202</v>
      </c>
    </row>
    <row r="20" spans="1:15" x14ac:dyDescent="0.2">
      <c r="A20" s="18"/>
      <c r="B20" s="8" t="s">
        <v>206</v>
      </c>
      <c r="C20" s="9" t="s">
        <v>18</v>
      </c>
      <c r="D20" s="9" t="s">
        <v>91</v>
      </c>
      <c r="E20" s="9" t="s">
        <v>125</v>
      </c>
      <c r="F20" s="10" t="s">
        <v>93</v>
      </c>
      <c r="G20" s="9" t="s">
        <v>18</v>
      </c>
      <c r="H20" s="9" t="s">
        <v>149</v>
      </c>
      <c r="J20" s="6" t="b">
        <f t="shared" ref="J20" si="16">C20&gt;C18</f>
        <v>0</v>
      </c>
      <c r="K20" s="6" t="b">
        <f t="shared" ref="K20" si="17">D20&gt;D18</f>
        <v>0</v>
      </c>
      <c r="L20" s="6" t="b">
        <f t="shared" ref="L20" si="18">E20&gt;E18</f>
        <v>0</v>
      </c>
      <c r="M20" s="6" t="b">
        <f t="shared" ref="M20" si="19">F20&gt;F18</f>
        <v>1</v>
      </c>
      <c r="N20" s="6" t="b">
        <f t="shared" ref="N20:O20" si="20">G20&gt;G18</f>
        <v>0</v>
      </c>
      <c r="O20" s="6" t="b">
        <f t="shared" si="20"/>
        <v>0</v>
      </c>
    </row>
    <row r="21" spans="1:15" x14ac:dyDescent="0.2">
      <c r="A21" s="14"/>
      <c r="B21" s="8"/>
      <c r="C21" s="9" t="s">
        <v>45</v>
      </c>
      <c r="D21" s="9" t="s">
        <v>92</v>
      </c>
      <c r="E21" s="9" t="s">
        <v>126</v>
      </c>
      <c r="F21" s="9" t="s">
        <v>152</v>
      </c>
      <c r="G21" s="9" t="s">
        <v>143</v>
      </c>
      <c r="H21" s="9" t="s">
        <v>152</v>
      </c>
    </row>
    <row r="22" spans="1:15" x14ac:dyDescent="0.2">
      <c r="A22" s="8"/>
      <c r="B22" s="8"/>
      <c r="C22" s="9" t="s">
        <v>0</v>
      </c>
      <c r="D22" s="9" t="s">
        <v>0</v>
      </c>
      <c r="E22" s="8"/>
      <c r="F22" s="8"/>
      <c r="G22" s="8"/>
      <c r="H22" s="8"/>
    </row>
    <row r="23" spans="1:15" x14ac:dyDescent="0.2">
      <c r="A23" s="7" t="s">
        <v>595</v>
      </c>
      <c r="B23" s="7"/>
      <c r="C23" s="11" t="s">
        <v>48</v>
      </c>
      <c r="D23" s="11" t="s">
        <v>94</v>
      </c>
      <c r="E23" s="11" t="s">
        <v>127</v>
      </c>
      <c r="F23" s="11" t="s">
        <v>153</v>
      </c>
      <c r="G23" s="11" t="s">
        <v>181</v>
      </c>
      <c r="H23" s="11" t="s">
        <v>203</v>
      </c>
    </row>
    <row r="24" spans="1:15" x14ac:dyDescent="0.2">
      <c r="A24" s="8" t="s">
        <v>601</v>
      </c>
      <c r="B24" s="8"/>
      <c r="C24" s="8"/>
      <c r="D24" s="8"/>
      <c r="E24" s="8"/>
      <c r="F24" s="8"/>
      <c r="G24" s="8"/>
      <c r="H24" s="8"/>
    </row>
    <row r="25" spans="1:15" x14ac:dyDescent="0.2">
      <c r="A25" s="16" t="s">
        <v>596</v>
      </c>
      <c r="B25" s="16"/>
      <c r="C25" s="16"/>
      <c r="D25" s="16"/>
      <c r="E25" s="16"/>
      <c r="F25" s="16"/>
      <c r="G25" s="16"/>
      <c r="H25" s="16"/>
    </row>
    <row r="26" spans="1:15" x14ac:dyDescent="0.2">
      <c r="A26" s="8" t="s">
        <v>599</v>
      </c>
      <c r="B26" s="8"/>
      <c r="C26" s="8"/>
      <c r="D26" s="8"/>
      <c r="E26" s="8"/>
      <c r="F26" s="9"/>
      <c r="G26" s="8"/>
      <c r="H26" s="8"/>
    </row>
    <row r="31" spans="1:15" x14ac:dyDescent="0.2">
      <c r="F31" s="1"/>
    </row>
    <row r="32" spans="1:15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 t="s">
        <v>0</v>
      </c>
    </row>
  </sheetData>
  <mergeCells count="7">
    <mergeCell ref="J1:O1"/>
    <mergeCell ref="A25:H25"/>
    <mergeCell ref="A2:A5"/>
    <mergeCell ref="A6:A9"/>
    <mergeCell ref="A10:A13"/>
    <mergeCell ref="A14:A17"/>
    <mergeCell ref="A18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410F-2364-4B5F-A2CD-41EE7BCE4FEB}">
  <dimension ref="A1:O59"/>
  <sheetViews>
    <sheetView workbookViewId="0">
      <selection activeCell="A2" sqref="A2:A41"/>
    </sheetView>
  </sheetViews>
  <sheetFormatPr defaultRowHeight="12.75" x14ac:dyDescent="0.2"/>
  <cols>
    <col min="1" max="1" width="4.42578125" customWidth="1"/>
    <col min="2" max="2" width="51.140625" customWidth="1"/>
    <col min="3" max="8" width="8.85546875" customWidth="1"/>
    <col min="10" max="15" width="9.140625" style="6"/>
  </cols>
  <sheetData>
    <row r="1" spans="1:15" x14ac:dyDescent="0.2">
      <c r="A1" s="12" t="s">
        <v>600</v>
      </c>
      <c r="B1" s="12" t="s">
        <v>594</v>
      </c>
      <c r="C1" s="13">
        <v>2011</v>
      </c>
      <c r="D1" s="13">
        <v>2013</v>
      </c>
      <c r="E1" s="13">
        <v>2015</v>
      </c>
      <c r="F1" s="13">
        <v>2017</v>
      </c>
      <c r="G1" s="13">
        <v>2020</v>
      </c>
      <c r="H1" s="13">
        <v>2022</v>
      </c>
      <c r="J1" s="15" t="s">
        <v>597</v>
      </c>
      <c r="K1" s="15"/>
      <c r="L1" s="15"/>
      <c r="M1" s="15"/>
      <c r="N1" s="15"/>
      <c r="O1" s="15"/>
    </row>
    <row r="2" spans="1:15" ht="12.75" customHeight="1" x14ac:dyDescent="0.2">
      <c r="A2" s="17" t="s">
        <v>588</v>
      </c>
      <c r="B2" s="8" t="s">
        <v>204</v>
      </c>
      <c r="C2" s="9" t="s">
        <v>629</v>
      </c>
      <c r="D2" s="9" t="s">
        <v>49</v>
      </c>
      <c r="E2" s="9" t="s">
        <v>95</v>
      </c>
      <c r="F2" s="9" t="s">
        <v>628</v>
      </c>
      <c r="G2" s="9" t="s">
        <v>154</v>
      </c>
      <c r="H2" s="9" t="s">
        <v>182</v>
      </c>
    </row>
    <row r="3" spans="1:15" x14ac:dyDescent="0.2">
      <c r="A3" s="18"/>
      <c r="B3" s="8"/>
      <c r="C3" s="9" t="s">
        <v>1</v>
      </c>
      <c r="D3" s="9" t="s">
        <v>50</v>
      </c>
      <c r="E3" s="9" t="s">
        <v>96</v>
      </c>
      <c r="F3" s="9" t="s">
        <v>627</v>
      </c>
      <c r="G3" s="9" t="s">
        <v>155</v>
      </c>
      <c r="H3" s="9" t="s">
        <v>183</v>
      </c>
    </row>
    <row r="4" spans="1:15" x14ac:dyDescent="0.2">
      <c r="A4" s="18"/>
      <c r="B4" s="8" t="s">
        <v>205</v>
      </c>
      <c r="C4" s="9" t="s">
        <v>626</v>
      </c>
      <c r="D4" s="9" t="s">
        <v>625</v>
      </c>
      <c r="E4" s="9" t="s">
        <v>624</v>
      </c>
      <c r="F4" s="9" t="s">
        <v>623</v>
      </c>
      <c r="G4" s="9" t="s">
        <v>622</v>
      </c>
      <c r="H4" s="9" t="s">
        <v>621</v>
      </c>
    </row>
    <row r="5" spans="1:15" x14ac:dyDescent="0.2">
      <c r="A5" s="18"/>
      <c r="B5" s="8"/>
      <c r="C5" s="9" t="s">
        <v>2</v>
      </c>
      <c r="D5" s="9" t="s">
        <v>39</v>
      </c>
      <c r="E5" s="9" t="s">
        <v>97</v>
      </c>
      <c r="F5" s="9" t="s">
        <v>620</v>
      </c>
      <c r="G5" s="9" t="s">
        <v>619</v>
      </c>
      <c r="H5" s="9" t="s">
        <v>618</v>
      </c>
    </row>
    <row r="6" spans="1:15" x14ac:dyDescent="0.2">
      <c r="A6" s="18"/>
      <c r="B6" s="8" t="s">
        <v>336</v>
      </c>
      <c r="C6" s="9" t="s">
        <v>4</v>
      </c>
      <c r="D6" s="9" t="s">
        <v>51</v>
      </c>
      <c r="E6" s="9" t="s">
        <v>98</v>
      </c>
      <c r="F6" s="9" t="s">
        <v>128</v>
      </c>
      <c r="G6" s="9" t="s">
        <v>156</v>
      </c>
      <c r="H6" s="9" t="s">
        <v>184</v>
      </c>
    </row>
    <row r="7" spans="1:15" x14ac:dyDescent="0.2">
      <c r="A7" s="18"/>
      <c r="B7" s="8"/>
      <c r="C7" s="9" t="s">
        <v>5</v>
      </c>
      <c r="D7" s="9" t="s">
        <v>52</v>
      </c>
      <c r="E7" s="9" t="s">
        <v>99</v>
      </c>
      <c r="F7" s="9" t="s">
        <v>129</v>
      </c>
      <c r="G7" s="9" t="s">
        <v>157</v>
      </c>
      <c r="H7" s="9" t="s">
        <v>185</v>
      </c>
    </row>
    <row r="8" spans="1:15" x14ac:dyDescent="0.2">
      <c r="A8" s="18"/>
      <c r="B8" s="8" t="s">
        <v>206</v>
      </c>
      <c r="C8" s="10" t="s">
        <v>6</v>
      </c>
      <c r="D8" s="10" t="s">
        <v>53</v>
      </c>
      <c r="E8" s="10" t="s">
        <v>100</v>
      </c>
      <c r="F8" s="9" t="s">
        <v>130</v>
      </c>
      <c r="G8" s="10" t="s">
        <v>158</v>
      </c>
      <c r="H8" s="10" t="s">
        <v>186</v>
      </c>
      <c r="J8" s="6" t="b">
        <f>C8&gt;C6</f>
        <v>1</v>
      </c>
      <c r="K8" s="6" t="b">
        <f>D8&gt;D6</f>
        <v>1</v>
      </c>
      <c r="L8" s="6" t="b">
        <f>E8&gt;E6</f>
        <v>1</v>
      </c>
      <c r="M8" s="6" t="b">
        <f>F8&gt;F6</f>
        <v>0</v>
      </c>
      <c r="N8" s="6" t="b">
        <f>G8&gt;G6</f>
        <v>1</v>
      </c>
      <c r="O8" s="6" t="b">
        <f>H8&gt;H6</f>
        <v>1</v>
      </c>
    </row>
    <row r="9" spans="1:15" x14ac:dyDescent="0.2">
      <c r="A9" s="18"/>
      <c r="B9" s="8"/>
      <c r="C9" s="9" t="s">
        <v>7</v>
      </c>
      <c r="D9" s="9" t="s">
        <v>54</v>
      </c>
      <c r="E9" s="9" t="s">
        <v>101</v>
      </c>
      <c r="F9" s="9" t="s">
        <v>131</v>
      </c>
      <c r="G9" s="9" t="s">
        <v>159</v>
      </c>
      <c r="H9" s="9" t="s">
        <v>187</v>
      </c>
    </row>
    <row r="10" spans="1:15" ht="12.75" customHeight="1" x14ac:dyDescent="0.2">
      <c r="A10" s="18" t="s">
        <v>589</v>
      </c>
      <c r="B10" s="8" t="s">
        <v>204</v>
      </c>
      <c r="C10" s="9" t="s">
        <v>9</v>
      </c>
      <c r="D10" s="9" t="s">
        <v>56</v>
      </c>
      <c r="E10" s="9" t="s">
        <v>84</v>
      </c>
      <c r="F10" s="9" t="s">
        <v>617</v>
      </c>
      <c r="G10" s="9" t="s">
        <v>160</v>
      </c>
      <c r="H10" s="9" t="s">
        <v>42</v>
      </c>
    </row>
    <row r="11" spans="1:15" x14ac:dyDescent="0.2">
      <c r="A11" s="18"/>
      <c r="B11" s="8"/>
      <c r="C11" s="9" t="s">
        <v>10</v>
      </c>
      <c r="D11" s="9" t="s">
        <v>13</v>
      </c>
      <c r="E11" s="9" t="s">
        <v>102</v>
      </c>
      <c r="F11" s="9" t="s">
        <v>7</v>
      </c>
      <c r="G11" s="9" t="s">
        <v>611</v>
      </c>
      <c r="H11" s="9" t="s">
        <v>188</v>
      </c>
    </row>
    <row r="12" spans="1:15" x14ac:dyDescent="0.2">
      <c r="A12" s="18"/>
      <c r="B12" s="8" t="s">
        <v>205</v>
      </c>
      <c r="C12" s="9" t="s">
        <v>11</v>
      </c>
      <c r="D12" s="9" t="s">
        <v>57</v>
      </c>
      <c r="E12" s="9" t="s">
        <v>103</v>
      </c>
      <c r="F12" s="9" t="s">
        <v>616</v>
      </c>
      <c r="G12" s="9" t="s">
        <v>11</v>
      </c>
      <c r="H12" s="9" t="s">
        <v>62</v>
      </c>
    </row>
    <row r="13" spans="1:15" x14ac:dyDescent="0.2">
      <c r="A13" s="18"/>
      <c r="B13" s="8"/>
      <c r="C13" s="9" t="s">
        <v>615</v>
      </c>
      <c r="D13" s="9" t="s">
        <v>58</v>
      </c>
      <c r="E13" s="9" t="s">
        <v>104</v>
      </c>
      <c r="F13" s="9" t="s">
        <v>132</v>
      </c>
      <c r="G13" s="9" t="s">
        <v>161</v>
      </c>
      <c r="H13" s="9" t="s">
        <v>172</v>
      </c>
    </row>
    <row r="14" spans="1:15" x14ac:dyDescent="0.2">
      <c r="A14" s="18"/>
      <c r="B14" s="8" t="s">
        <v>336</v>
      </c>
      <c r="C14" s="9" t="s">
        <v>14</v>
      </c>
      <c r="D14" s="9" t="s">
        <v>60</v>
      </c>
      <c r="E14" s="9" t="s">
        <v>105</v>
      </c>
      <c r="F14" s="9" t="s">
        <v>133</v>
      </c>
      <c r="G14" s="9" t="s">
        <v>162</v>
      </c>
      <c r="H14" s="9" t="s">
        <v>189</v>
      </c>
    </row>
    <row r="15" spans="1:15" x14ac:dyDescent="0.2">
      <c r="A15" s="18"/>
      <c r="B15" s="8"/>
      <c r="C15" s="9" t="s">
        <v>15</v>
      </c>
      <c r="D15" s="9" t="s">
        <v>61</v>
      </c>
      <c r="E15" s="9" t="s">
        <v>106</v>
      </c>
      <c r="F15" s="9" t="s">
        <v>134</v>
      </c>
      <c r="G15" s="9" t="s">
        <v>163</v>
      </c>
      <c r="H15" s="9" t="s">
        <v>190</v>
      </c>
    </row>
    <row r="16" spans="1:15" x14ac:dyDescent="0.2">
      <c r="A16" s="18"/>
      <c r="B16" s="8" t="s">
        <v>206</v>
      </c>
      <c r="C16" s="10" t="s">
        <v>16</v>
      </c>
      <c r="D16" s="10" t="s">
        <v>62</v>
      </c>
      <c r="E16" s="10" t="s">
        <v>107</v>
      </c>
      <c r="F16" s="9" t="s">
        <v>135</v>
      </c>
      <c r="G16" s="10" t="s">
        <v>160</v>
      </c>
      <c r="H16" s="10" t="s">
        <v>191</v>
      </c>
      <c r="J16" s="6" t="b">
        <f>C16&gt;C14</f>
        <v>1</v>
      </c>
      <c r="K16" s="6" t="b">
        <f>D16&gt;D14</f>
        <v>1</v>
      </c>
      <c r="L16" s="6" t="b">
        <f>E16&gt;E14</f>
        <v>1</v>
      </c>
      <c r="M16" s="6" t="b">
        <f>F16&gt;F14</f>
        <v>0</v>
      </c>
      <c r="N16" s="6" t="b">
        <f>G16&gt;G14</f>
        <v>1</v>
      </c>
      <c r="O16" s="6" t="b">
        <f>H16&gt;H14</f>
        <v>1</v>
      </c>
    </row>
    <row r="17" spans="1:15" x14ac:dyDescent="0.2">
      <c r="A17" s="18"/>
      <c r="B17" s="8"/>
      <c r="C17" s="9" t="s">
        <v>17</v>
      </c>
      <c r="D17" s="9" t="s">
        <v>63</v>
      </c>
      <c r="E17" s="9" t="s">
        <v>108</v>
      </c>
      <c r="F17" s="9" t="s">
        <v>136</v>
      </c>
      <c r="G17" s="9" t="s">
        <v>164</v>
      </c>
      <c r="H17" s="9" t="s">
        <v>192</v>
      </c>
    </row>
    <row r="18" spans="1:15" ht="12.75" customHeight="1" x14ac:dyDescent="0.2">
      <c r="A18" s="18" t="s">
        <v>590</v>
      </c>
      <c r="B18" s="8" t="s">
        <v>204</v>
      </c>
      <c r="C18" s="9" t="s">
        <v>19</v>
      </c>
      <c r="D18" s="9" t="s">
        <v>64</v>
      </c>
      <c r="E18" s="9" t="s">
        <v>109</v>
      </c>
      <c r="F18" s="9" t="s">
        <v>137</v>
      </c>
      <c r="G18" s="9" t="s">
        <v>165</v>
      </c>
      <c r="H18" s="9" t="s">
        <v>614</v>
      </c>
    </row>
    <row r="19" spans="1:15" x14ac:dyDescent="0.2">
      <c r="A19" s="18"/>
      <c r="B19" s="8"/>
      <c r="C19" s="9" t="s">
        <v>20</v>
      </c>
      <c r="D19" s="9" t="s">
        <v>65</v>
      </c>
      <c r="E19" s="9" t="s">
        <v>110</v>
      </c>
      <c r="F19" s="9" t="s">
        <v>138</v>
      </c>
      <c r="G19" s="9" t="s">
        <v>166</v>
      </c>
      <c r="H19" s="9" t="s">
        <v>193</v>
      </c>
    </row>
    <row r="20" spans="1:15" x14ac:dyDescent="0.2">
      <c r="A20" s="18"/>
      <c r="B20" s="8" t="s">
        <v>205</v>
      </c>
      <c r="C20" s="9" t="s">
        <v>21</v>
      </c>
      <c r="D20" s="9" t="s">
        <v>66</v>
      </c>
      <c r="E20" s="9" t="s">
        <v>111</v>
      </c>
      <c r="F20" s="9" t="s">
        <v>139</v>
      </c>
      <c r="G20" s="9" t="s">
        <v>167</v>
      </c>
      <c r="H20" s="9" t="s">
        <v>194</v>
      </c>
    </row>
    <row r="21" spans="1:15" x14ac:dyDescent="0.2">
      <c r="A21" s="18"/>
      <c r="B21" s="8"/>
      <c r="C21" s="9" t="s">
        <v>22</v>
      </c>
      <c r="D21" s="9" t="s">
        <v>67</v>
      </c>
      <c r="E21" s="9" t="s">
        <v>613</v>
      </c>
      <c r="F21" s="9" t="s">
        <v>612</v>
      </c>
      <c r="G21" s="9" t="s">
        <v>168</v>
      </c>
      <c r="H21" s="9" t="s">
        <v>195</v>
      </c>
    </row>
    <row r="22" spans="1:15" x14ac:dyDescent="0.2">
      <c r="A22" s="18"/>
      <c r="B22" s="8" t="s">
        <v>336</v>
      </c>
      <c r="C22" s="9" t="s">
        <v>23</v>
      </c>
      <c r="D22" s="9" t="s">
        <v>69</v>
      </c>
      <c r="E22" s="9" t="s">
        <v>112</v>
      </c>
      <c r="F22" s="9" t="s">
        <v>140</v>
      </c>
      <c r="G22" s="9" t="s">
        <v>69</v>
      </c>
      <c r="H22" s="9" t="s">
        <v>118</v>
      </c>
    </row>
    <row r="23" spans="1:15" x14ac:dyDescent="0.2">
      <c r="A23" s="18"/>
      <c r="B23" s="8"/>
      <c r="C23" s="9" t="s">
        <v>24</v>
      </c>
      <c r="D23" s="9" t="s">
        <v>70</v>
      </c>
      <c r="E23" s="9" t="s">
        <v>113</v>
      </c>
      <c r="F23" s="9" t="s">
        <v>141</v>
      </c>
      <c r="G23" s="9" t="s">
        <v>169</v>
      </c>
      <c r="H23" s="9" t="s">
        <v>196</v>
      </c>
    </row>
    <row r="24" spans="1:15" x14ac:dyDescent="0.2">
      <c r="A24" s="18"/>
      <c r="B24" s="8" t="s">
        <v>206</v>
      </c>
      <c r="C24" s="10" t="s">
        <v>25</v>
      </c>
      <c r="D24" s="10" t="s">
        <v>71</v>
      </c>
      <c r="E24" s="10" t="s">
        <v>114</v>
      </c>
      <c r="F24" s="9" t="s">
        <v>142</v>
      </c>
      <c r="G24" s="10" t="s">
        <v>109</v>
      </c>
      <c r="H24" s="10" t="s">
        <v>137</v>
      </c>
      <c r="J24" s="6" t="b">
        <f>C24&gt;C22</f>
        <v>1</v>
      </c>
      <c r="K24" s="6" t="b">
        <f>D24&gt;D22</f>
        <v>1</v>
      </c>
      <c r="L24" s="6" t="b">
        <f>E24&gt;E22</f>
        <v>1</v>
      </c>
      <c r="M24" s="6" t="b">
        <f>F24&gt;F22</f>
        <v>0</v>
      </c>
      <c r="N24" s="6" t="b">
        <f>G24&gt;G22</f>
        <v>1</v>
      </c>
      <c r="O24" s="6" t="b">
        <f>H24&gt;H22</f>
        <v>1</v>
      </c>
    </row>
    <row r="25" spans="1:15" x14ac:dyDescent="0.2">
      <c r="A25" s="18"/>
      <c r="B25" s="8"/>
      <c r="C25" s="9" t="s">
        <v>26</v>
      </c>
      <c r="D25" s="9" t="s">
        <v>72</v>
      </c>
      <c r="E25" s="9" t="s">
        <v>115</v>
      </c>
      <c r="F25" s="9" t="s">
        <v>143</v>
      </c>
      <c r="G25" s="9" t="s">
        <v>170</v>
      </c>
      <c r="H25" s="9" t="s">
        <v>197</v>
      </c>
    </row>
    <row r="26" spans="1:15" ht="12.75" customHeight="1" x14ac:dyDescent="0.2">
      <c r="A26" s="18" t="s">
        <v>591</v>
      </c>
      <c r="B26" s="8" t="s">
        <v>204</v>
      </c>
      <c r="C26" s="9" t="s">
        <v>28</v>
      </c>
      <c r="D26" s="9" t="s">
        <v>75</v>
      </c>
      <c r="E26" s="9" t="s">
        <v>116</v>
      </c>
      <c r="F26" s="9" t="s">
        <v>144</v>
      </c>
      <c r="G26" s="9" t="s">
        <v>171</v>
      </c>
      <c r="H26" s="9" t="s">
        <v>78</v>
      </c>
    </row>
    <row r="27" spans="1:15" x14ac:dyDescent="0.2">
      <c r="A27" s="18"/>
      <c r="B27" s="8"/>
      <c r="C27" s="9" t="s">
        <v>29</v>
      </c>
      <c r="D27" s="9" t="s">
        <v>76</v>
      </c>
      <c r="E27" s="9" t="s">
        <v>611</v>
      </c>
      <c r="F27" s="9" t="s">
        <v>610</v>
      </c>
      <c r="G27" s="9" t="s">
        <v>172</v>
      </c>
      <c r="H27" s="9" t="s">
        <v>138</v>
      </c>
    </row>
    <row r="28" spans="1:15" x14ac:dyDescent="0.2">
      <c r="A28" s="18"/>
      <c r="B28" s="8" t="s">
        <v>205</v>
      </c>
      <c r="C28" s="9" t="s">
        <v>30</v>
      </c>
      <c r="D28" s="9" t="s">
        <v>77</v>
      </c>
      <c r="E28" s="9" t="s">
        <v>32</v>
      </c>
      <c r="F28" s="9" t="s">
        <v>145</v>
      </c>
      <c r="G28" s="9" t="s">
        <v>173</v>
      </c>
      <c r="H28" s="9" t="s">
        <v>198</v>
      </c>
    </row>
    <row r="29" spans="1:15" x14ac:dyDescent="0.2">
      <c r="A29" s="18"/>
      <c r="B29" s="8"/>
      <c r="C29" s="9" t="s">
        <v>31</v>
      </c>
      <c r="D29" s="9" t="s">
        <v>609</v>
      </c>
      <c r="E29" s="9" t="s">
        <v>117</v>
      </c>
      <c r="F29" s="9" t="s">
        <v>121</v>
      </c>
      <c r="G29" s="9" t="s">
        <v>174</v>
      </c>
      <c r="H29" s="9" t="s">
        <v>164</v>
      </c>
    </row>
    <row r="30" spans="1:15" x14ac:dyDescent="0.2">
      <c r="A30" s="18"/>
      <c r="B30" s="8" t="s">
        <v>336</v>
      </c>
      <c r="C30" s="9" t="s">
        <v>34</v>
      </c>
      <c r="D30" s="9" t="s">
        <v>78</v>
      </c>
      <c r="E30" s="9" t="s">
        <v>118</v>
      </c>
      <c r="F30" s="9" t="s">
        <v>23</v>
      </c>
      <c r="G30" s="9" t="s">
        <v>175</v>
      </c>
      <c r="H30" s="9" t="s">
        <v>199</v>
      </c>
    </row>
    <row r="31" spans="1:15" x14ac:dyDescent="0.2">
      <c r="A31" s="18"/>
      <c r="B31" s="8"/>
      <c r="C31" s="9" t="s">
        <v>35</v>
      </c>
      <c r="D31" s="9" t="s">
        <v>79</v>
      </c>
      <c r="E31" s="9" t="s">
        <v>119</v>
      </c>
      <c r="F31" s="9" t="s">
        <v>146</v>
      </c>
      <c r="G31" s="9" t="s">
        <v>176</v>
      </c>
      <c r="H31" s="9" t="s">
        <v>45</v>
      </c>
    </row>
    <row r="32" spans="1:15" x14ac:dyDescent="0.2">
      <c r="A32" s="18"/>
      <c r="B32" s="8" t="s">
        <v>206</v>
      </c>
      <c r="C32" s="9" t="s">
        <v>36</v>
      </c>
      <c r="D32" s="9" t="s">
        <v>80</v>
      </c>
      <c r="E32" s="9" t="s">
        <v>120</v>
      </c>
      <c r="F32" s="10" t="s">
        <v>147</v>
      </c>
      <c r="G32" s="9" t="s">
        <v>171</v>
      </c>
      <c r="H32" s="9" t="s">
        <v>142</v>
      </c>
      <c r="J32" s="6" t="b">
        <f>C32&gt;C30</f>
        <v>0</v>
      </c>
      <c r="K32" s="6" t="b">
        <f>D32&gt;D30</f>
        <v>0</v>
      </c>
      <c r="L32" s="6" t="b">
        <f>E32&gt;E30</f>
        <v>0</v>
      </c>
      <c r="M32" s="6" t="b">
        <f>F32&gt;F30</f>
        <v>1</v>
      </c>
      <c r="N32" s="6" t="b">
        <f>G32&gt;G30</f>
        <v>0</v>
      </c>
      <c r="O32" s="6" t="b">
        <f>H32&gt;H30</f>
        <v>0</v>
      </c>
    </row>
    <row r="33" spans="1:15" x14ac:dyDescent="0.2">
      <c r="A33" s="18"/>
      <c r="B33" s="8"/>
      <c r="C33" s="9" t="s">
        <v>37</v>
      </c>
      <c r="D33" s="9" t="s">
        <v>81</v>
      </c>
      <c r="E33" s="9" t="s">
        <v>121</v>
      </c>
      <c r="F33" s="9" t="s">
        <v>148</v>
      </c>
      <c r="G33" s="9" t="s">
        <v>177</v>
      </c>
      <c r="H33" s="9" t="s">
        <v>200</v>
      </c>
    </row>
    <row r="34" spans="1:15" ht="12.75" customHeight="1" x14ac:dyDescent="0.2">
      <c r="A34" s="18" t="s">
        <v>592</v>
      </c>
      <c r="B34" s="8" t="s">
        <v>204</v>
      </c>
      <c r="C34" s="9" t="s">
        <v>38</v>
      </c>
      <c r="D34" s="9" t="s">
        <v>84</v>
      </c>
      <c r="E34" s="9" t="s">
        <v>122</v>
      </c>
      <c r="F34" s="9" t="s">
        <v>149</v>
      </c>
      <c r="G34" s="9" t="s">
        <v>18</v>
      </c>
      <c r="H34" s="9" t="s">
        <v>42</v>
      </c>
    </row>
    <row r="35" spans="1:15" x14ac:dyDescent="0.2">
      <c r="A35" s="18"/>
      <c r="B35" s="8"/>
      <c r="C35" s="9" t="s">
        <v>39</v>
      </c>
      <c r="D35" s="9" t="s">
        <v>85</v>
      </c>
      <c r="E35" s="9" t="s">
        <v>123</v>
      </c>
      <c r="F35" s="9" t="s">
        <v>150</v>
      </c>
      <c r="G35" s="9" t="s">
        <v>178</v>
      </c>
      <c r="H35" s="9" t="s">
        <v>22</v>
      </c>
    </row>
    <row r="36" spans="1:15" x14ac:dyDescent="0.2">
      <c r="A36" s="18"/>
      <c r="B36" s="8" t="s">
        <v>205</v>
      </c>
      <c r="C36" s="9" t="s">
        <v>40</v>
      </c>
      <c r="D36" s="9" t="s">
        <v>86</v>
      </c>
      <c r="E36" s="9" t="s">
        <v>608</v>
      </c>
      <c r="F36" s="9" t="s">
        <v>607</v>
      </c>
      <c r="G36" s="9" t="s">
        <v>606</v>
      </c>
      <c r="H36" s="9" t="s">
        <v>605</v>
      </c>
    </row>
    <row r="37" spans="1:15" x14ac:dyDescent="0.2">
      <c r="A37" s="18"/>
      <c r="B37" s="8"/>
      <c r="C37" s="9" t="s">
        <v>41</v>
      </c>
      <c r="D37" s="9" t="s">
        <v>87</v>
      </c>
      <c r="E37" s="9" t="s">
        <v>604</v>
      </c>
      <c r="F37" s="9" t="s">
        <v>603</v>
      </c>
      <c r="G37" s="9" t="s">
        <v>179</v>
      </c>
      <c r="H37" s="9" t="s">
        <v>602</v>
      </c>
    </row>
    <row r="38" spans="1:15" x14ac:dyDescent="0.2">
      <c r="A38" s="18"/>
      <c r="B38" s="8" t="s">
        <v>336</v>
      </c>
      <c r="C38" s="9" t="s">
        <v>43</v>
      </c>
      <c r="D38" s="9" t="s">
        <v>89</v>
      </c>
      <c r="E38" s="9" t="s">
        <v>124</v>
      </c>
      <c r="F38" s="9" t="s">
        <v>151</v>
      </c>
      <c r="G38" s="9" t="s">
        <v>12</v>
      </c>
      <c r="H38" s="9" t="s">
        <v>201</v>
      </c>
    </row>
    <row r="39" spans="1:15" x14ac:dyDescent="0.2">
      <c r="A39" s="18"/>
      <c r="B39" s="8"/>
      <c r="C39" s="9" t="s">
        <v>44</v>
      </c>
      <c r="D39" s="9" t="s">
        <v>90</v>
      </c>
      <c r="E39" s="9" t="s">
        <v>70</v>
      </c>
      <c r="F39" s="9" t="s">
        <v>74</v>
      </c>
      <c r="G39" s="9" t="s">
        <v>180</v>
      </c>
      <c r="H39" s="9" t="s">
        <v>202</v>
      </c>
    </row>
    <row r="40" spans="1:15" x14ac:dyDescent="0.2">
      <c r="A40" s="18"/>
      <c r="B40" s="8" t="s">
        <v>206</v>
      </c>
      <c r="C40" s="9" t="s">
        <v>18</v>
      </c>
      <c r="D40" s="9" t="s">
        <v>91</v>
      </c>
      <c r="E40" s="9" t="s">
        <v>125</v>
      </c>
      <c r="F40" s="10" t="s">
        <v>93</v>
      </c>
      <c r="G40" s="9" t="s">
        <v>18</v>
      </c>
      <c r="H40" s="9" t="s">
        <v>149</v>
      </c>
      <c r="J40" s="6" t="b">
        <f>C40&gt;C38</f>
        <v>0</v>
      </c>
      <c r="K40" s="6" t="b">
        <f>D40&gt;D38</f>
        <v>0</v>
      </c>
      <c r="L40" s="6" t="b">
        <f>E40&gt;E38</f>
        <v>0</v>
      </c>
      <c r="M40" s="6" t="b">
        <f>F40&gt;F38</f>
        <v>1</v>
      </c>
      <c r="N40" s="6" t="b">
        <f>G40&gt;G38</f>
        <v>0</v>
      </c>
      <c r="O40" s="6" t="b">
        <f>H40&gt;H38</f>
        <v>0</v>
      </c>
    </row>
    <row r="41" spans="1:15" x14ac:dyDescent="0.2">
      <c r="A41" s="18"/>
      <c r="B41" s="8"/>
      <c r="C41" s="9" t="s">
        <v>45</v>
      </c>
      <c r="D41" s="9" t="s">
        <v>92</v>
      </c>
      <c r="E41" s="9" t="s">
        <v>126</v>
      </c>
      <c r="F41" s="9" t="s">
        <v>152</v>
      </c>
      <c r="G41" s="9" t="s">
        <v>143</v>
      </c>
      <c r="H41" s="9" t="s">
        <v>152</v>
      </c>
    </row>
    <row r="42" spans="1:15" x14ac:dyDescent="0.2">
      <c r="A42" s="8"/>
      <c r="B42" s="8"/>
      <c r="C42" s="9" t="s">
        <v>0</v>
      </c>
      <c r="D42" s="9" t="s">
        <v>0</v>
      </c>
      <c r="E42" s="8"/>
      <c r="F42" s="8"/>
      <c r="G42" s="8"/>
      <c r="H42" s="8"/>
    </row>
    <row r="43" spans="1:15" x14ac:dyDescent="0.2">
      <c r="A43" s="12" t="s">
        <v>595</v>
      </c>
      <c r="B43" s="12"/>
      <c r="C43" s="13" t="s">
        <v>48</v>
      </c>
      <c r="D43" s="13" t="s">
        <v>94</v>
      </c>
      <c r="E43" s="13" t="s">
        <v>127</v>
      </c>
      <c r="F43" s="13" t="s">
        <v>153</v>
      </c>
      <c r="G43" s="13" t="s">
        <v>181</v>
      </c>
      <c r="H43" s="13" t="s">
        <v>203</v>
      </c>
    </row>
    <row r="44" spans="1:15" x14ac:dyDescent="0.2">
      <c r="A44" s="8" t="s">
        <v>601</v>
      </c>
      <c r="B44" s="8"/>
      <c r="C44" s="8"/>
      <c r="D44" s="8"/>
      <c r="E44" s="8"/>
      <c r="F44" s="8"/>
      <c r="G44" s="8"/>
      <c r="H44" s="8"/>
    </row>
    <row r="45" spans="1:15" x14ac:dyDescent="0.2">
      <c r="A45" s="16" t="s">
        <v>596</v>
      </c>
      <c r="B45" s="16"/>
      <c r="C45" s="16"/>
      <c r="D45" s="16"/>
      <c r="E45" s="16"/>
      <c r="F45" s="16"/>
      <c r="G45" s="16"/>
      <c r="H45" s="16"/>
    </row>
    <row r="46" spans="1:15" x14ac:dyDescent="0.2">
      <c r="A46" s="8" t="s">
        <v>599</v>
      </c>
      <c r="B46" s="8"/>
      <c r="C46" s="8"/>
      <c r="D46" s="8"/>
      <c r="E46" s="8"/>
      <c r="F46" s="9"/>
      <c r="G46" s="8"/>
      <c r="H46" s="8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 t="s">
        <v>0</v>
      </c>
    </row>
  </sheetData>
  <mergeCells count="7">
    <mergeCell ref="J1:O1"/>
    <mergeCell ref="A45:H45"/>
    <mergeCell ref="A2:A9"/>
    <mergeCell ref="A10:A17"/>
    <mergeCell ref="A18:A25"/>
    <mergeCell ref="A26:A33"/>
    <mergeCell ref="A34:A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099A-E9A6-436C-88EE-EB7E01F2C7D7}">
  <dimension ref="A1:O71"/>
  <sheetViews>
    <sheetView topLeftCell="A10" workbookViewId="0">
      <selection activeCell="A44" sqref="A44"/>
    </sheetView>
  </sheetViews>
  <sheetFormatPr defaultRowHeight="12.75" x14ac:dyDescent="0.2"/>
  <cols>
    <col min="2" max="2" width="60.7109375" customWidth="1"/>
    <col min="3" max="8" width="11" customWidth="1"/>
    <col min="10" max="15" width="9.140625" style="6"/>
  </cols>
  <sheetData>
    <row r="1" spans="1:15" x14ac:dyDescent="0.2">
      <c r="A1" s="2" t="s">
        <v>593</v>
      </c>
      <c r="B1" s="2" t="s">
        <v>594</v>
      </c>
      <c r="C1" s="5">
        <v>2011</v>
      </c>
      <c r="D1" s="5">
        <v>2013</v>
      </c>
      <c r="E1" s="5">
        <v>2015</v>
      </c>
      <c r="F1" s="5">
        <v>2017</v>
      </c>
      <c r="G1" s="5">
        <v>2020</v>
      </c>
      <c r="H1" s="5">
        <v>2022</v>
      </c>
      <c r="J1" s="15" t="s">
        <v>597</v>
      </c>
      <c r="K1" s="15"/>
      <c r="L1" s="15"/>
      <c r="M1" s="15"/>
      <c r="N1" s="15"/>
      <c r="O1" s="15"/>
    </row>
    <row r="2" spans="1:15" x14ac:dyDescent="0.2">
      <c r="A2" t="s">
        <v>588</v>
      </c>
      <c r="B2" t="s">
        <v>204</v>
      </c>
      <c r="C2" s="1" t="s">
        <v>335</v>
      </c>
      <c r="D2" s="1" t="s">
        <v>334</v>
      </c>
      <c r="E2" s="1" t="s">
        <v>95</v>
      </c>
      <c r="F2" s="1" t="s">
        <v>333</v>
      </c>
      <c r="G2" s="1" t="s">
        <v>300</v>
      </c>
      <c r="H2" s="1" t="s">
        <v>332</v>
      </c>
    </row>
    <row r="3" spans="1:15" x14ac:dyDescent="0.2">
      <c r="C3" s="1" t="s">
        <v>331</v>
      </c>
      <c r="D3" s="1" t="s">
        <v>330</v>
      </c>
      <c r="E3" s="1" t="s">
        <v>3</v>
      </c>
      <c r="F3" s="1" t="s">
        <v>329</v>
      </c>
      <c r="G3" s="1" t="s">
        <v>328</v>
      </c>
      <c r="H3" s="1" t="s">
        <v>183</v>
      </c>
    </row>
    <row r="4" spans="1:15" x14ac:dyDescent="0.2">
      <c r="B4" t="s">
        <v>205</v>
      </c>
      <c r="C4" s="1" t="s">
        <v>327</v>
      </c>
      <c r="D4" s="1" t="s">
        <v>326</v>
      </c>
      <c r="E4" s="1" t="s">
        <v>325</v>
      </c>
      <c r="F4" s="1" t="s">
        <v>324</v>
      </c>
      <c r="G4" s="1" t="s">
        <v>323</v>
      </c>
      <c r="H4" s="1" t="s">
        <v>322</v>
      </c>
    </row>
    <row r="5" spans="1:15" x14ac:dyDescent="0.2">
      <c r="C5" s="1" t="s">
        <v>321</v>
      </c>
      <c r="D5" s="1" t="s">
        <v>320</v>
      </c>
      <c r="E5" s="1" t="s">
        <v>319</v>
      </c>
      <c r="F5" s="1" t="s">
        <v>318</v>
      </c>
      <c r="G5" s="1" t="s">
        <v>317</v>
      </c>
      <c r="H5" s="1" t="s">
        <v>316</v>
      </c>
    </row>
    <row r="6" spans="1:15" x14ac:dyDescent="0.2">
      <c r="B6" t="s">
        <v>336</v>
      </c>
      <c r="C6" s="1" t="s">
        <v>4</v>
      </c>
      <c r="D6" s="1" t="s">
        <v>315</v>
      </c>
      <c r="E6" s="1" t="s">
        <v>314</v>
      </c>
      <c r="F6" s="1" t="s">
        <v>313</v>
      </c>
      <c r="G6" s="1" t="s">
        <v>312</v>
      </c>
      <c r="H6" s="1" t="s">
        <v>156</v>
      </c>
    </row>
    <row r="7" spans="1:15" x14ac:dyDescent="0.2">
      <c r="C7" s="1" t="s">
        <v>311</v>
      </c>
      <c r="D7" s="1" t="s">
        <v>52</v>
      </c>
      <c r="E7" s="1" t="s">
        <v>310</v>
      </c>
      <c r="F7" s="1" t="s">
        <v>309</v>
      </c>
      <c r="G7" s="1" t="s">
        <v>309</v>
      </c>
      <c r="H7" s="1" t="s">
        <v>308</v>
      </c>
    </row>
    <row r="8" spans="1:15" x14ac:dyDescent="0.2">
      <c r="B8" t="s">
        <v>206</v>
      </c>
      <c r="C8" s="1" t="s">
        <v>307</v>
      </c>
      <c r="D8" s="1" t="s">
        <v>306</v>
      </c>
      <c r="E8" s="1" t="s">
        <v>305</v>
      </c>
      <c r="F8" s="1" t="s">
        <v>304</v>
      </c>
      <c r="G8" s="1" t="s">
        <v>158</v>
      </c>
      <c r="H8" s="1" t="s">
        <v>55</v>
      </c>
      <c r="J8" s="6" t="b">
        <f>C8&gt;C6</f>
        <v>1</v>
      </c>
      <c r="K8" s="6" t="b">
        <f t="shared" ref="K8:N8" si="0">D8&gt;D6</f>
        <v>1</v>
      </c>
      <c r="L8" s="6" t="b">
        <f t="shared" si="0"/>
        <v>1</v>
      </c>
      <c r="M8" s="6" t="b">
        <f t="shared" si="0"/>
        <v>0</v>
      </c>
      <c r="N8" s="6" t="b">
        <f t="shared" si="0"/>
        <v>1</v>
      </c>
      <c r="O8" s="6" t="b">
        <f>H8&gt;H6</f>
        <v>1</v>
      </c>
    </row>
    <row r="9" spans="1:15" x14ac:dyDescent="0.2">
      <c r="C9" s="1" t="s">
        <v>187</v>
      </c>
      <c r="D9" s="1" t="s">
        <v>253</v>
      </c>
      <c r="E9" s="1" t="s">
        <v>303</v>
      </c>
      <c r="F9" s="1" t="s">
        <v>302</v>
      </c>
      <c r="G9" s="1" t="s">
        <v>301</v>
      </c>
      <c r="H9" s="1" t="s">
        <v>61</v>
      </c>
    </row>
    <row r="10" spans="1:15" x14ac:dyDescent="0.2">
      <c r="A10" t="s">
        <v>589</v>
      </c>
      <c r="B10" t="s">
        <v>204</v>
      </c>
      <c r="C10" s="1" t="s">
        <v>284</v>
      </c>
      <c r="D10" s="1" t="s">
        <v>56</v>
      </c>
      <c r="E10" s="1" t="s">
        <v>84</v>
      </c>
      <c r="F10" s="1" t="s">
        <v>88</v>
      </c>
      <c r="G10" s="1" t="s">
        <v>298</v>
      </c>
      <c r="H10" s="1" t="s">
        <v>42</v>
      </c>
    </row>
    <row r="11" spans="1:15" x14ac:dyDescent="0.2">
      <c r="C11" s="1" t="s">
        <v>10</v>
      </c>
      <c r="D11" s="1" t="s">
        <v>13</v>
      </c>
      <c r="E11" s="1" t="s">
        <v>297</v>
      </c>
      <c r="F11" s="1" t="s">
        <v>61</v>
      </c>
      <c r="G11" s="1" t="s">
        <v>296</v>
      </c>
      <c r="H11" s="1" t="s">
        <v>188</v>
      </c>
    </row>
    <row r="12" spans="1:15" x14ac:dyDescent="0.2">
      <c r="B12" t="s">
        <v>205</v>
      </c>
      <c r="C12" s="1" t="s">
        <v>294</v>
      </c>
      <c r="D12" s="1" t="s">
        <v>57</v>
      </c>
      <c r="E12" s="1" t="s">
        <v>103</v>
      </c>
      <c r="F12" s="1" t="s">
        <v>295</v>
      </c>
      <c r="G12" s="1" t="s">
        <v>294</v>
      </c>
      <c r="H12" s="1" t="s">
        <v>62</v>
      </c>
    </row>
    <row r="13" spans="1:15" x14ac:dyDescent="0.2">
      <c r="C13" s="1" t="s">
        <v>293</v>
      </c>
      <c r="D13" s="1" t="s">
        <v>292</v>
      </c>
      <c r="E13" s="1" t="s">
        <v>24</v>
      </c>
      <c r="F13" s="1" t="s">
        <v>132</v>
      </c>
      <c r="G13" s="1" t="s">
        <v>117</v>
      </c>
      <c r="H13" s="1" t="s">
        <v>161</v>
      </c>
    </row>
    <row r="14" spans="1:15" x14ac:dyDescent="0.2">
      <c r="B14" t="s">
        <v>336</v>
      </c>
      <c r="C14" s="1" t="s">
        <v>14</v>
      </c>
      <c r="D14" s="1" t="s">
        <v>86</v>
      </c>
      <c r="E14" s="1" t="s">
        <v>291</v>
      </c>
      <c r="F14" s="1" t="s">
        <v>290</v>
      </c>
      <c r="G14" s="1" t="s">
        <v>162</v>
      </c>
      <c r="H14" s="1" t="s">
        <v>125</v>
      </c>
    </row>
    <row r="15" spans="1:15" x14ac:dyDescent="0.2">
      <c r="C15" s="1" t="s">
        <v>289</v>
      </c>
      <c r="D15" s="1" t="s">
        <v>227</v>
      </c>
      <c r="E15" s="1" t="s">
        <v>288</v>
      </c>
      <c r="F15" s="1" t="s">
        <v>287</v>
      </c>
      <c r="G15" s="1" t="s">
        <v>286</v>
      </c>
      <c r="H15" s="1" t="s">
        <v>285</v>
      </c>
    </row>
    <row r="16" spans="1:15" x14ac:dyDescent="0.2">
      <c r="B16" t="s">
        <v>206</v>
      </c>
      <c r="C16" s="1" t="s">
        <v>16</v>
      </c>
      <c r="D16" s="1" t="s">
        <v>284</v>
      </c>
      <c r="E16" s="1" t="s">
        <v>107</v>
      </c>
      <c r="F16" s="1" t="s">
        <v>216</v>
      </c>
      <c r="G16" s="1" t="s">
        <v>160</v>
      </c>
      <c r="H16" s="1" t="s">
        <v>191</v>
      </c>
      <c r="J16" s="6" t="b">
        <f t="shared" ref="J16:O16" si="1">C16&gt;C14</f>
        <v>1</v>
      </c>
      <c r="K16" s="6" t="b">
        <f t="shared" si="1"/>
        <v>1</v>
      </c>
      <c r="L16" s="6" t="b">
        <f t="shared" si="1"/>
        <v>1</v>
      </c>
      <c r="M16" s="6" t="b">
        <f t="shared" si="1"/>
        <v>0</v>
      </c>
      <c r="N16" s="6" t="b">
        <f t="shared" si="1"/>
        <v>1</v>
      </c>
      <c r="O16" s="6" t="b">
        <f t="shared" si="1"/>
        <v>1</v>
      </c>
    </row>
    <row r="17" spans="1:15" x14ac:dyDescent="0.2">
      <c r="C17" s="1" t="s">
        <v>283</v>
      </c>
      <c r="D17" s="1" t="s">
        <v>282</v>
      </c>
      <c r="E17" s="1" t="s">
        <v>132</v>
      </c>
      <c r="F17" s="1" t="s">
        <v>202</v>
      </c>
      <c r="G17" s="1" t="s">
        <v>195</v>
      </c>
      <c r="H17" s="1" t="s">
        <v>281</v>
      </c>
    </row>
    <row r="18" spans="1:15" x14ac:dyDescent="0.2">
      <c r="A18" t="s">
        <v>590</v>
      </c>
      <c r="B18" t="s">
        <v>204</v>
      </c>
      <c r="C18" s="1" t="s">
        <v>19</v>
      </c>
      <c r="D18" s="1" t="s">
        <v>64</v>
      </c>
      <c r="E18" s="1" t="s">
        <v>165</v>
      </c>
      <c r="F18" s="1" t="s">
        <v>137</v>
      </c>
      <c r="G18" s="1" t="s">
        <v>165</v>
      </c>
      <c r="H18" s="1" t="s">
        <v>64</v>
      </c>
    </row>
    <row r="19" spans="1:15" x14ac:dyDescent="0.2">
      <c r="C19" s="1" t="s">
        <v>280</v>
      </c>
      <c r="D19" s="1" t="s">
        <v>65</v>
      </c>
      <c r="E19" s="1" t="s">
        <v>279</v>
      </c>
      <c r="F19" s="1" t="s">
        <v>278</v>
      </c>
      <c r="G19" s="1" t="s">
        <v>166</v>
      </c>
      <c r="H19" s="1" t="s">
        <v>277</v>
      </c>
    </row>
    <row r="20" spans="1:15" x14ac:dyDescent="0.2">
      <c r="B20" t="s">
        <v>205</v>
      </c>
      <c r="C20" s="1" t="s">
        <v>276</v>
      </c>
      <c r="D20" s="1" t="s">
        <v>275</v>
      </c>
      <c r="E20" s="1" t="s">
        <v>111</v>
      </c>
      <c r="F20" s="1" t="s">
        <v>167</v>
      </c>
      <c r="G20" s="1" t="s">
        <v>274</v>
      </c>
      <c r="H20" s="1" t="s">
        <v>194</v>
      </c>
    </row>
    <row r="21" spans="1:15" x14ac:dyDescent="0.2">
      <c r="C21" s="1" t="s">
        <v>273</v>
      </c>
      <c r="D21" s="1" t="s">
        <v>67</v>
      </c>
      <c r="E21" s="1" t="s">
        <v>193</v>
      </c>
      <c r="F21" s="1" t="s">
        <v>272</v>
      </c>
      <c r="G21" s="1" t="s">
        <v>74</v>
      </c>
      <c r="H21" s="1" t="s">
        <v>195</v>
      </c>
    </row>
    <row r="22" spans="1:15" x14ac:dyDescent="0.2">
      <c r="B22" t="s">
        <v>336</v>
      </c>
      <c r="C22" s="1" t="s">
        <v>243</v>
      </c>
      <c r="D22" s="1" t="s">
        <v>147</v>
      </c>
      <c r="E22" s="1" t="s">
        <v>270</v>
      </c>
      <c r="F22" s="1" t="s">
        <v>264</v>
      </c>
      <c r="G22" s="1" t="s">
        <v>73</v>
      </c>
      <c r="H22" s="1" t="s">
        <v>251</v>
      </c>
    </row>
    <row r="23" spans="1:15" x14ac:dyDescent="0.2">
      <c r="C23" s="1" t="s">
        <v>150</v>
      </c>
      <c r="D23" s="1" t="s">
        <v>70</v>
      </c>
      <c r="E23" s="1" t="s">
        <v>269</v>
      </c>
      <c r="F23" s="1" t="s">
        <v>268</v>
      </c>
      <c r="G23" s="1" t="s">
        <v>267</v>
      </c>
      <c r="H23" s="1" t="s">
        <v>266</v>
      </c>
    </row>
    <row r="24" spans="1:15" x14ac:dyDescent="0.2">
      <c r="B24" t="s">
        <v>206</v>
      </c>
      <c r="C24" s="1" t="s">
        <v>265</v>
      </c>
      <c r="D24" s="1" t="s">
        <v>71</v>
      </c>
      <c r="E24" s="1" t="s">
        <v>71</v>
      </c>
      <c r="F24" s="1" t="s">
        <v>264</v>
      </c>
      <c r="G24" s="1" t="s">
        <v>165</v>
      </c>
      <c r="H24" s="1" t="s">
        <v>263</v>
      </c>
      <c r="J24" s="6" t="b">
        <f t="shared" ref="J24:O24" si="2">C24&gt;C22</f>
        <v>1</v>
      </c>
      <c r="K24" s="6" t="b">
        <f t="shared" si="2"/>
        <v>1</v>
      </c>
      <c r="L24" s="6" t="b">
        <f t="shared" si="2"/>
        <v>1</v>
      </c>
      <c r="M24" s="6" t="b">
        <f t="shared" si="2"/>
        <v>0</v>
      </c>
      <c r="N24" s="6" t="b">
        <f t="shared" si="2"/>
        <v>1</v>
      </c>
      <c r="O24" s="6" t="b">
        <f t="shared" si="2"/>
        <v>1</v>
      </c>
    </row>
    <row r="25" spans="1:15" x14ac:dyDescent="0.2">
      <c r="C25" s="1" t="s">
        <v>262</v>
      </c>
      <c r="D25" s="1" t="s">
        <v>63</v>
      </c>
      <c r="E25" s="1" t="s">
        <v>37</v>
      </c>
      <c r="F25" s="1" t="s">
        <v>143</v>
      </c>
      <c r="G25" s="1" t="s">
        <v>170</v>
      </c>
      <c r="H25" s="1" t="s">
        <v>261</v>
      </c>
    </row>
    <row r="26" spans="1:15" x14ac:dyDescent="0.2">
      <c r="A26" t="s">
        <v>591</v>
      </c>
      <c r="B26" t="s">
        <v>204</v>
      </c>
      <c r="C26" s="1" t="s">
        <v>28</v>
      </c>
      <c r="D26" s="1" t="s">
        <v>120</v>
      </c>
      <c r="E26" s="1" t="s">
        <v>116</v>
      </c>
      <c r="F26" s="1" t="s">
        <v>144</v>
      </c>
      <c r="G26" s="1" t="s">
        <v>82</v>
      </c>
      <c r="H26" s="1" t="s">
        <v>82</v>
      </c>
    </row>
    <row r="27" spans="1:15" x14ac:dyDescent="0.2">
      <c r="C27" s="1" t="s">
        <v>29</v>
      </c>
      <c r="D27" s="1" t="s">
        <v>178</v>
      </c>
      <c r="E27" s="1" t="s">
        <v>260</v>
      </c>
      <c r="F27" s="1" t="s">
        <v>259</v>
      </c>
      <c r="G27" s="1" t="s">
        <v>172</v>
      </c>
      <c r="H27" s="1" t="s">
        <v>138</v>
      </c>
    </row>
    <row r="28" spans="1:15" x14ac:dyDescent="0.2">
      <c r="B28" t="s">
        <v>205</v>
      </c>
      <c r="C28" s="1" t="s">
        <v>30</v>
      </c>
      <c r="D28" s="1" t="s">
        <v>77</v>
      </c>
      <c r="E28" s="1" t="s">
        <v>32</v>
      </c>
      <c r="F28" s="1" t="s">
        <v>32</v>
      </c>
      <c r="G28" s="1" t="s">
        <v>258</v>
      </c>
      <c r="H28" s="1" t="s">
        <v>173</v>
      </c>
    </row>
    <row r="29" spans="1:15" x14ac:dyDescent="0.2">
      <c r="C29" s="1" t="s">
        <v>257</v>
      </c>
      <c r="D29" s="1" t="s">
        <v>256</v>
      </c>
      <c r="E29" s="1" t="s">
        <v>255</v>
      </c>
      <c r="F29" s="1" t="s">
        <v>121</v>
      </c>
      <c r="G29" s="1" t="s">
        <v>174</v>
      </c>
      <c r="H29" s="1" t="s">
        <v>164</v>
      </c>
    </row>
    <row r="30" spans="1:15" x14ac:dyDescent="0.2">
      <c r="B30" t="s">
        <v>336</v>
      </c>
      <c r="C30" s="1" t="s">
        <v>34</v>
      </c>
      <c r="D30" s="1" t="s">
        <v>252</v>
      </c>
      <c r="E30" s="1" t="s">
        <v>251</v>
      </c>
      <c r="F30" s="1" t="s">
        <v>243</v>
      </c>
      <c r="G30" s="1" t="s">
        <v>250</v>
      </c>
      <c r="H30" s="1" t="s">
        <v>73</v>
      </c>
    </row>
    <row r="31" spans="1:15" x14ac:dyDescent="0.2">
      <c r="C31" s="1" t="s">
        <v>110</v>
      </c>
      <c r="D31" s="1" t="s">
        <v>249</v>
      </c>
      <c r="E31" s="1" t="s">
        <v>248</v>
      </c>
      <c r="F31" s="1" t="s">
        <v>247</v>
      </c>
      <c r="G31" s="1" t="s">
        <v>246</v>
      </c>
      <c r="H31" s="1" t="s">
        <v>245</v>
      </c>
    </row>
    <row r="32" spans="1:15" x14ac:dyDescent="0.2">
      <c r="B32" t="s">
        <v>206</v>
      </c>
      <c r="C32" s="1" t="s">
        <v>36</v>
      </c>
      <c r="D32" s="1" t="s">
        <v>244</v>
      </c>
      <c r="E32" s="1" t="s">
        <v>75</v>
      </c>
      <c r="F32" s="1" t="s">
        <v>243</v>
      </c>
      <c r="G32" s="1" t="s">
        <v>82</v>
      </c>
      <c r="H32" s="1" t="s">
        <v>242</v>
      </c>
      <c r="J32" s="6" t="b">
        <f t="shared" ref="J32:O32" si="3">C32&gt;C30</f>
        <v>0</v>
      </c>
      <c r="K32" s="6" t="b">
        <f t="shared" si="3"/>
        <v>0</v>
      </c>
      <c r="L32" s="6" t="b">
        <f t="shared" si="3"/>
        <v>0</v>
      </c>
      <c r="M32" s="6" t="b">
        <f t="shared" si="3"/>
        <v>0</v>
      </c>
      <c r="N32" s="6" t="b">
        <f t="shared" si="3"/>
        <v>0</v>
      </c>
      <c r="O32" s="6" t="b">
        <f t="shared" si="3"/>
        <v>0</v>
      </c>
    </row>
    <row r="33" spans="1:15" x14ac:dyDescent="0.2">
      <c r="C33" s="1" t="s">
        <v>241</v>
      </c>
      <c r="D33" s="1" t="s">
        <v>240</v>
      </c>
      <c r="E33" s="1" t="s">
        <v>148</v>
      </c>
      <c r="F33" s="1" t="s">
        <v>168</v>
      </c>
      <c r="G33" s="1" t="s">
        <v>239</v>
      </c>
      <c r="H33" s="1" t="s">
        <v>238</v>
      </c>
    </row>
    <row r="34" spans="1:15" x14ac:dyDescent="0.2">
      <c r="A34" t="s">
        <v>592</v>
      </c>
      <c r="B34" t="s">
        <v>204</v>
      </c>
      <c r="C34" s="1" t="s">
        <v>38</v>
      </c>
      <c r="D34" s="1" t="s">
        <v>84</v>
      </c>
      <c r="E34" s="1" t="s">
        <v>122</v>
      </c>
      <c r="F34" s="1" t="s">
        <v>213</v>
      </c>
      <c r="G34" s="1" t="s">
        <v>18</v>
      </c>
      <c r="H34" s="1" t="s">
        <v>42</v>
      </c>
    </row>
    <row r="35" spans="1:15" x14ac:dyDescent="0.2">
      <c r="C35" s="1" t="s">
        <v>236</v>
      </c>
      <c r="D35" s="1" t="s">
        <v>235</v>
      </c>
      <c r="E35" s="1" t="s">
        <v>234</v>
      </c>
      <c r="F35" s="1" t="s">
        <v>87</v>
      </c>
      <c r="G35" s="1" t="s">
        <v>233</v>
      </c>
      <c r="H35" s="1" t="s">
        <v>233</v>
      </c>
    </row>
    <row r="36" spans="1:15" x14ac:dyDescent="0.2">
      <c r="B36" t="s">
        <v>205</v>
      </c>
      <c r="C36" s="1" t="s">
        <v>232</v>
      </c>
      <c r="D36" s="1" t="s">
        <v>60</v>
      </c>
      <c r="E36" s="1" t="s">
        <v>231</v>
      </c>
      <c r="F36" s="1" t="s">
        <v>230</v>
      </c>
      <c r="G36" s="1" t="s">
        <v>229</v>
      </c>
      <c r="H36" s="1" t="s">
        <v>228</v>
      </c>
    </row>
    <row r="37" spans="1:15" x14ac:dyDescent="0.2">
      <c r="C37" s="1" t="s">
        <v>227</v>
      </c>
      <c r="D37" s="1" t="s">
        <v>226</v>
      </c>
      <c r="E37" s="1" t="s">
        <v>225</v>
      </c>
      <c r="F37" s="1" t="s">
        <v>224</v>
      </c>
      <c r="G37" s="1" t="s">
        <v>223</v>
      </c>
      <c r="H37" s="1" t="s">
        <v>222</v>
      </c>
    </row>
    <row r="38" spans="1:15" x14ac:dyDescent="0.2">
      <c r="B38" t="s">
        <v>336</v>
      </c>
      <c r="C38" s="1" t="s">
        <v>43</v>
      </c>
      <c r="D38" s="1" t="s">
        <v>220</v>
      </c>
      <c r="E38" s="1" t="s">
        <v>89</v>
      </c>
      <c r="F38" s="1" t="s">
        <v>151</v>
      </c>
      <c r="G38" s="1" t="s">
        <v>12</v>
      </c>
      <c r="H38" s="1" t="s">
        <v>201</v>
      </c>
    </row>
    <row r="39" spans="1:15" x14ac:dyDescent="0.2">
      <c r="C39" s="1" t="s">
        <v>219</v>
      </c>
      <c r="D39" s="1" t="s">
        <v>90</v>
      </c>
      <c r="E39" s="1" t="s">
        <v>218</v>
      </c>
      <c r="F39" s="1" t="s">
        <v>217</v>
      </c>
      <c r="G39" s="1" t="s">
        <v>202</v>
      </c>
      <c r="H39" s="1" t="s">
        <v>202</v>
      </c>
    </row>
    <row r="40" spans="1:15" x14ac:dyDescent="0.2">
      <c r="B40" t="s">
        <v>206</v>
      </c>
      <c r="C40" s="1" t="s">
        <v>18</v>
      </c>
      <c r="D40" s="1" t="s">
        <v>91</v>
      </c>
      <c r="E40" s="1" t="s">
        <v>216</v>
      </c>
      <c r="F40" s="1" t="s">
        <v>215</v>
      </c>
      <c r="G40" s="1" t="s">
        <v>214</v>
      </c>
      <c r="H40" s="1" t="s">
        <v>213</v>
      </c>
      <c r="J40" s="6" t="b">
        <f t="shared" ref="J40:O40" si="4">C40&gt;C38</f>
        <v>0</v>
      </c>
      <c r="K40" s="6" t="b">
        <f t="shared" si="4"/>
        <v>0</v>
      </c>
      <c r="L40" s="6" t="b">
        <f t="shared" si="4"/>
        <v>0</v>
      </c>
      <c r="M40" s="6" t="b">
        <f t="shared" si="4"/>
        <v>1</v>
      </c>
      <c r="N40" s="6" t="b">
        <f t="shared" si="4"/>
        <v>0</v>
      </c>
      <c r="O40" s="6" t="b">
        <f t="shared" si="4"/>
        <v>0</v>
      </c>
    </row>
    <row r="41" spans="1:15" x14ac:dyDescent="0.2">
      <c r="C41" s="1" t="s">
        <v>212</v>
      </c>
      <c r="D41" s="1" t="s">
        <v>211</v>
      </c>
      <c r="E41" s="1" t="s">
        <v>210</v>
      </c>
      <c r="F41" s="1" t="s">
        <v>209</v>
      </c>
      <c r="G41" s="1" t="s">
        <v>208</v>
      </c>
      <c r="H41" s="1" t="s">
        <v>207</v>
      </c>
    </row>
    <row r="42" spans="1:15" x14ac:dyDescent="0.2">
      <c r="C42" s="1" t="s">
        <v>0</v>
      </c>
      <c r="D42" s="1" t="s">
        <v>0</v>
      </c>
    </row>
    <row r="43" spans="1:15" x14ac:dyDescent="0.2">
      <c r="A43" s="2" t="s">
        <v>595</v>
      </c>
      <c r="B43" s="2"/>
      <c r="C43" s="3" t="s">
        <v>48</v>
      </c>
      <c r="D43" s="3" t="s">
        <v>94</v>
      </c>
      <c r="E43" s="3" t="s">
        <v>127</v>
      </c>
      <c r="F43" s="3" t="s">
        <v>153</v>
      </c>
      <c r="G43" s="3" t="s">
        <v>181</v>
      </c>
      <c r="H43" s="3" t="s">
        <v>203</v>
      </c>
    </row>
    <row r="44" spans="1:15" x14ac:dyDescent="0.2">
      <c r="A44" t="s">
        <v>598</v>
      </c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</sheetData>
  <mergeCells count="1">
    <mergeCell ref="J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5761-9595-481B-8D94-8B128C417112}">
  <dimension ref="A1:O72"/>
  <sheetViews>
    <sheetView topLeftCell="A7" workbookViewId="0">
      <selection activeCell="A44" sqref="A44"/>
    </sheetView>
  </sheetViews>
  <sheetFormatPr defaultRowHeight="12.75" x14ac:dyDescent="0.2"/>
  <cols>
    <col min="2" max="2" width="60.7109375" customWidth="1"/>
    <col min="3" max="8" width="11" customWidth="1"/>
    <col min="10" max="15" width="9.140625" style="6"/>
  </cols>
  <sheetData>
    <row r="1" spans="1:15" x14ac:dyDescent="0.2">
      <c r="A1" s="2" t="s">
        <v>593</v>
      </c>
      <c r="B1" s="2" t="s">
        <v>594</v>
      </c>
      <c r="C1" s="5">
        <v>2011</v>
      </c>
      <c r="D1" s="5">
        <v>2013</v>
      </c>
      <c r="E1" s="5">
        <v>2015</v>
      </c>
      <c r="F1" s="5">
        <v>2017</v>
      </c>
      <c r="G1" s="5">
        <v>2020</v>
      </c>
      <c r="H1" s="5">
        <v>2022</v>
      </c>
      <c r="J1" s="15" t="s">
        <v>597</v>
      </c>
      <c r="K1" s="15"/>
      <c r="L1" s="15"/>
      <c r="M1" s="15"/>
      <c r="N1" s="15"/>
      <c r="O1" s="15"/>
    </row>
    <row r="2" spans="1:15" x14ac:dyDescent="0.2">
      <c r="A2" t="s">
        <v>588</v>
      </c>
      <c r="B2" t="s">
        <v>204</v>
      </c>
      <c r="C2" s="1" t="s">
        <v>337</v>
      </c>
      <c r="D2" s="1" t="s">
        <v>355</v>
      </c>
      <c r="E2" s="1" t="s">
        <v>374</v>
      </c>
      <c r="F2" s="1" t="s">
        <v>389</v>
      </c>
      <c r="G2" s="1" t="s">
        <v>154</v>
      </c>
      <c r="H2" s="1" t="s">
        <v>8</v>
      </c>
    </row>
    <row r="3" spans="1:15" x14ac:dyDescent="0.2">
      <c r="C3" s="1" t="s">
        <v>338</v>
      </c>
      <c r="D3" s="1" t="s">
        <v>50</v>
      </c>
      <c r="E3" s="1" t="s">
        <v>96</v>
      </c>
      <c r="F3" s="1" t="s">
        <v>390</v>
      </c>
      <c r="G3" s="1" t="s">
        <v>155</v>
      </c>
      <c r="H3" s="1" t="s">
        <v>52</v>
      </c>
    </row>
    <row r="4" spans="1:15" x14ac:dyDescent="0.2">
      <c r="B4" t="s">
        <v>205</v>
      </c>
      <c r="C4" s="1" t="s">
        <v>339</v>
      </c>
      <c r="D4" s="1" t="s">
        <v>356</v>
      </c>
      <c r="E4" s="1" t="s">
        <v>375</v>
      </c>
      <c r="F4" s="1" t="s">
        <v>391</v>
      </c>
      <c r="G4" s="1" t="s">
        <v>414</v>
      </c>
      <c r="H4" s="1" t="s">
        <v>425</v>
      </c>
    </row>
    <row r="5" spans="1:15" x14ac:dyDescent="0.2">
      <c r="C5" s="1" t="s">
        <v>2</v>
      </c>
      <c r="D5" s="1" t="s">
        <v>357</v>
      </c>
      <c r="E5" s="1" t="s">
        <v>319</v>
      </c>
      <c r="F5" s="1" t="s">
        <v>392</v>
      </c>
      <c r="G5" s="1" t="s">
        <v>415</v>
      </c>
      <c r="H5" s="1" t="s">
        <v>426</v>
      </c>
    </row>
    <row r="6" spans="1:15" x14ac:dyDescent="0.2">
      <c r="B6" t="s">
        <v>336</v>
      </c>
      <c r="C6" s="1" t="s">
        <v>340</v>
      </c>
      <c r="D6" s="1" t="s">
        <v>358</v>
      </c>
      <c r="E6" s="1" t="s">
        <v>184</v>
      </c>
      <c r="F6" s="1" t="s">
        <v>393</v>
      </c>
      <c r="G6" s="1" t="s">
        <v>98</v>
      </c>
      <c r="H6" s="1" t="s">
        <v>427</v>
      </c>
    </row>
    <row r="7" spans="1:15" x14ac:dyDescent="0.2">
      <c r="C7" s="1" t="s">
        <v>341</v>
      </c>
      <c r="D7" s="1" t="s">
        <v>183</v>
      </c>
      <c r="E7" s="1" t="s">
        <v>310</v>
      </c>
      <c r="F7" s="1" t="s">
        <v>394</v>
      </c>
      <c r="G7" s="1" t="s">
        <v>416</v>
      </c>
      <c r="H7" s="1" t="s">
        <v>428</v>
      </c>
    </row>
    <row r="8" spans="1:15" x14ac:dyDescent="0.2">
      <c r="B8" t="s">
        <v>206</v>
      </c>
      <c r="C8" s="1" t="s">
        <v>342</v>
      </c>
      <c r="D8" s="1" t="s">
        <v>359</v>
      </c>
      <c r="E8" s="1" t="s">
        <v>305</v>
      </c>
      <c r="F8" s="1" t="s">
        <v>395</v>
      </c>
      <c r="G8" s="1" t="s">
        <v>332</v>
      </c>
      <c r="H8" s="1" t="s">
        <v>186</v>
      </c>
      <c r="J8" s="6" t="b">
        <f>C8&gt;C6</f>
        <v>1</v>
      </c>
      <c r="K8" s="6" t="b">
        <f t="shared" ref="K8:N8" si="0">D8&gt;D6</f>
        <v>1</v>
      </c>
      <c r="L8" s="6" t="b">
        <f t="shared" si="0"/>
        <v>1</v>
      </c>
      <c r="M8" s="6" t="b">
        <f t="shared" si="0"/>
        <v>0</v>
      </c>
      <c r="N8" s="6" t="b">
        <f t="shared" si="0"/>
        <v>1</v>
      </c>
      <c r="O8" s="6" t="b">
        <f>H8&gt;H6</f>
        <v>1</v>
      </c>
    </row>
    <row r="9" spans="1:15" x14ac:dyDescent="0.2">
      <c r="C9" s="1" t="s">
        <v>227</v>
      </c>
      <c r="D9" s="1" t="s">
        <v>360</v>
      </c>
      <c r="E9" s="1" t="s">
        <v>303</v>
      </c>
      <c r="F9" s="1" t="s">
        <v>299</v>
      </c>
      <c r="G9" s="1" t="s">
        <v>301</v>
      </c>
      <c r="H9" s="1" t="s">
        <v>159</v>
      </c>
    </row>
    <row r="10" spans="1:15" x14ac:dyDescent="0.2">
      <c r="A10" t="s">
        <v>589</v>
      </c>
      <c r="B10" t="s">
        <v>204</v>
      </c>
      <c r="C10" s="1" t="s">
        <v>9</v>
      </c>
      <c r="D10" s="1" t="s">
        <v>56</v>
      </c>
      <c r="E10" s="1" t="s">
        <v>84</v>
      </c>
      <c r="F10" s="1" t="s">
        <v>221</v>
      </c>
      <c r="G10" s="1" t="s">
        <v>298</v>
      </c>
      <c r="H10" s="1" t="s">
        <v>38</v>
      </c>
    </row>
    <row r="11" spans="1:15" x14ac:dyDescent="0.2">
      <c r="C11" s="1" t="s">
        <v>343</v>
      </c>
      <c r="D11" s="1" t="s">
        <v>344</v>
      </c>
      <c r="E11" s="1" t="s">
        <v>297</v>
      </c>
      <c r="F11" s="1" t="s">
        <v>396</v>
      </c>
      <c r="G11" s="1" t="s">
        <v>417</v>
      </c>
      <c r="H11" s="1" t="s">
        <v>288</v>
      </c>
    </row>
    <row r="12" spans="1:15" x14ac:dyDescent="0.2">
      <c r="B12" t="s">
        <v>205</v>
      </c>
      <c r="C12" s="1" t="s">
        <v>294</v>
      </c>
      <c r="D12" s="1" t="s">
        <v>57</v>
      </c>
      <c r="E12" s="1" t="s">
        <v>103</v>
      </c>
      <c r="F12" s="1" t="s">
        <v>16</v>
      </c>
      <c r="G12" s="1" t="s">
        <v>294</v>
      </c>
      <c r="H12" s="1" t="s">
        <v>160</v>
      </c>
    </row>
    <row r="13" spans="1:15" x14ac:dyDescent="0.2">
      <c r="C13" s="1" t="s">
        <v>316</v>
      </c>
      <c r="D13" s="1" t="s">
        <v>361</v>
      </c>
      <c r="E13" s="1" t="s">
        <v>376</v>
      </c>
      <c r="F13" s="1" t="s">
        <v>90</v>
      </c>
      <c r="G13" s="1" t="s">
        <v>117</v>
      </c>
      <c r="H13" s="1" t="s">
        <v>429</v>
      </c>
    </row>
    <row r="14" spans="1:15" x14ac:dyDescent="0.2">
      <c r="B14" t="s">
        <v>336</v>
      </c>
      <c r="C14" s="1" t="s">
        <v>14</v>
      </c>
      <c r="D14" s="1" t="s">
        <v>362</v>
      </c>
      <c r="E14" s="1" t="s">
        <v>377</v>
      </c>
      <c r="F14" s="1" t="s">
        <v>397</v>
      </c>
      <c r="G14" s="1" t="s">
        <v>162</v>
      </c>
      <c r="H14" s="1" t="s">
        <v>430</v>
      </c>
    </row>
    <row r="15" spans="1:15" x14ac:dyDescent="0.2">
      <c r="C15" s="1" t="s">
        <v>345</v>
      </c>
      <c r="D15" s="1" t="s">
        <v>61</v>
      </c>
      <c r="E15" s="1" t="s">
        <v>346</v>
      </c>
      <c r="F15" s="1" t="s">
        <v>398</v>
      </c>
      <c r="G15" s="1" t="s">
        <v>134</v>
      </c>
      <c r="H15" s="1" t="s">
        <v>190</v>
      </c>
    </row>
    <row r="16" spans="1:15" x14ac:dyDescent="0.2">
      <c r="B16" t="s">
        <v>206</v>
      </c>
      <c r="C16" s="1" t="s">
        <v>16</v>
      </c>
      <c r="D16" s="1" t="s">
        <v>9</v>
      </c>
      <c r="E16" s="1" t="s">
        <v>107</v>
      </c>
      <c r="F16" s="1" t="s">
        <v>399</v>
      </c>
      <c r="G16" s="1" t="s">
        <v>160</v>
      </c>
      <c r="H16" s="1" t="s">
        <v>191</v>
      </c>
      <c r="J16" s="6" t="b">
        <f t="shared" ref="J16:O16" si="1">C16&gt;C14</f>
        <v>1</v>
      </c>
      <c r="K16" s="6" t="b">
        <f t="shared" si="1"/>
        <v>1</v>
      </c>
      <c r="L16" s="6" t="b">
        <f t="shared" si="1"/>
        <v>1</v>
      </c>
      <c r="M16" s="6" t="b">
        <f t="shared" si="1"/>
        <v>0</v>
      </c>
      <c r="N16" s="6" t="b">
        <f t="shared" si="1"/>
        <v>1</v>
      </c>
      <c r="O16" s="6" t="b">
        <f t="shared" si="1"/>
        <v>1</v>
      </c>
    </row>
    <row r="17" spans="1:15" x14ac:dyDescent="0.2">
      <c r="C17" s="1" t="s">
        <v>17</v>
      </c>
      <c r="D17" s="1" t="s">
        <v>72</v>
      </c>
      <c r="E17" s="1" t="s">
        <v>378</v>
      </c>
      <c r="F17" s="1" t="s">
        <v>180</v>
      </c>
      <c r="G17" s="1" t="s">
        <v>164</v>
      </c>
      <c r="H17" s="1" t="s">
        <v>431</v>
      </c>
    </row>
    <row r="18" spans="1:15" x14ac:dyDescent="0.2">
      <c r="A18" t="s">
        <v>590</v>
      </c>
      <c r="B18" t="s">
        <v>204</v>
      </c>
      <c r="C18" s="1" t="s">
        <v>19</v>
      </c>
      <c r="D18" s="1" t="s">
        <v>64</v>
      </c>
      <c r="E18" s="1" t="s">
        <v>165</v>
      </c>
      <c r="F18" s="1" t="s">
        <v>400</v>
      </c>
      <c r="G18" s="1" t="s">
        <v>109</v>
      </c>
      <c r="H18" s="1" t="s">
        <v>64</v>
      </c>
    </row>
    <row r="19" spans="1:15" x14ac:dyDescent="0.2">
      <c r="C19" s="1" t="s">
        <v>346</v>
      </c>
      <c r="D19" s="1" t="s">
        <v>363</v>
      </c>
      <c r="E19" s="1" t="s">
        <v>379</v>
      </c>
      <c r="F19" s="1" t="s">
        <v>401</v>
      </c>
      <c r="G19" s="1" t="s">
        <v>166</v>
      </c>
      <c r="H19" s="1" t="s">
        <v>277</v>
      </c>
    </row>
    <row r="20" spans="1:15" x14ac:dyDescent="0.2">
      <c r="B20" t="s">
        <v>205</v>
      </c>
      <c r="C20" s="1" t="s">
        <v>21</v>
      </c>
      <c r="D20" s="1" t="s">
        <v>275</v>
      </c>
      <c r="E20" s="1" t="s">
        <v>111</v>
      </c>
      <c r="F20" s="1" t="s">
        <v>167</v>
      </c>
      <c r="G20" s="1" t="s">
        <v>274</v>
      </c>
      <c r="H20" s="1" t="s">
        <v>432</v>
      </c>
    </row>
    <row r="21" spans="1:15" x14ac:dyDescent="0.2">
      <c r="C21" s="1" t="s">
        <v>273</v>
      </c>
      <c r="D21" s="1" t="s">
        <v>364</v>
      </c>
      <c r="E21" s="1" t="s">
        <v>193</v>
      </c>
      <c r="F21" s="1" t="s">
        <v>402</v>
      </c>
      <c r="G21" s="1" t="s">
        <v>74</v>
      </c>
      <c r="H21" s="1" t="s">
        <v>195</v>
      </c>
    </row>
    <row r="22" spans="1:15" x14ac:dyDescent="0.2">
      <c r="B22" t="s">
        <v>336</v>
      </c>
      <c r="C22" s="1" t="s">
        <v>23</v>
      </c>
      <c r="D22" s="1" t="s">
        <v>147</v>
      </c>
      <c r="E22" s="1" t="s">
        <v>270</v>
      </c>
      <c r="F22" s="1" t="s">
        <v>403</v>
      </c>
      <c r="G22" s="1" t="s">
        <v>69</v>
      </c>
      <c r="H22" s="1" t="s">
        <v>433</v>
      </c>
    </row>
    <row r="23" spans="1:15" x14ac:dyDescent="0.2">
      <c r="C23" s="1" t="s">
        <v>347</v>
      </c>
      <c r="D23" s="1" t="s">
        <v>70</v>
      </c>
      <c r="E23" s="1" t="s">
        <v>380</v>
      </c>
      <c r="F23" s="1" t="s">
        <v>404</v>
      </c>
      <c r="G23" s="1" t="s">
        <v>267</v>
      </c>
      <c r="H23" s="1" t="s">
        <v>434</v>
      </c>
    </row>
    <row r="24" spans="1:15" x14ac:dyDescent="0.2">
      <c r="B24" t="s">
        <v>206</v>
      </c>
      <c r="C24" s="1" t="s">
        <v>25</v>
      </c>
      <c r="D24" s="1" t="s">
        <v>139</v>
      </c>
      <c r="E24" s="1" t="s">
        <v>139</v>
      </c>
      <c r="F24" s="1" t="s">
        <v>140</v>
      </c>
      <c r="G24" s="1" t="s">
        <v>165</v>
      </c>
      <c r="H24" s="1" t="s">
        <v>263</v>
      </c>
      <c r="J24" s="6" t="b">
        <f t="shared" ref="J24:O24" si="2">C24&gt;C22</f>
        <v>1</v>
      </c>
      <c r="K24" s="6" t="b">
        <f t="shared" si="2"/>
        <v>1</v>
      </c>
      <c r="L24" s="6" t="b">
        <f t="shared" si="2"/>
        <v>1</v>
      </c>
      <c r="M24" s="6" t="b">
        <f t="shared" si="2"/>
        <v>0</v>
      </c>
      <c r="N24" s="6" t="b">
        <f t="shared" si="2"/>
        <v>1</v>
      </c>
      <c r="O24" s="6" t="b">
        <f t="shared" si="2"/>
        <v>1</v>
      </c>
    </row>
    <row r="25" spans="1:15" x14ac:dyDescent="0.2">
      <c r="C25" s="1" t="s">
        <v>348</v>
      </c>
      <c r="D25" s="1" t="s">
        <v>365</v>
      </c>
      <c r="E25" s="1" t="s">
        <v>381</v>
      </c>
      <c r="F25" s="1" t="s">
        <v>143</v>
      </c>
      <c r="G25" s="1" t="s">
        <v>418</v>
      </c>
      <c r="H25" s="1" t="s">
        <v>197</v>
      </c>
    </row>
    <row r="26" spans="1:15" x14ac:dyDescent="0.2">
      <c r="A26" t="s">
        <v>591</v>
      </c>
      <c r="B26" t="s">
        <v>204</v>
      </c>
      <c r="C26" s="1" t="s">
        <v>145</v>
      </c>
      <c r="D26" s="1" t="s">
        <v>120</v>
      </c>
      <c r="E26" s="1" t="s">
        <v>116</v>
      </c>
      <c r="F26" s="1" t="s">
        <v>116</v>
      </c>
      <c r="G26" s="1" t="s">
        <v>82</v>
      </c>
      <c r="H26" s="1" t="s">
        <v>171</v>
      </c>
    </row>
    <row r="27" spans="1:15" x14ac:dyDescent="0.2">
      <c r="C27" s="1" t="s">
        <v>29</v>
      </c>
      <c r="D27" s="1" t="s">
        <v>178</v>
      </c>
      <c r="E27" s="1" t="s">
        <v>260</v>
      </c>
      <c r="F27" s="1" t="s">
        <v>406</v>
      </c>
      <c r="G27" s="1" t="s">
        <v>419</v>
      </c>
      <c r="H27" s="1" t="s">
        <v>435</v>
      </c>
    </row>
    <row r="28" spans="1:15" x14ac:dyDescent="0.2">
      <c r="B28" t="s">
        <v>205</v>
      </c>
      <c r="C28" s="1" t="s">
        <v>30</v>
      </c>
      <c r="D28" s="1" t="s">
        <v>366</v>
      </c>
      <c r="E28" s="1" t="s">
        <v>32</v>
      </c>
      <c r="F28" s="1" t="s">
        <v>32</v>
      </c>
      <c r="G28" s="1" t="s">
        <v>258</v>
      </c>
      <c r="H28" s="1" t="s">
        <v>198</v>
      </c>
    </row>
    <row r="29" spans="1:15" x14ac:dyDescent="0.2">
      <c r="C29" s="1" t="s">
        <v>349</v>
      </c>
      <c r="D29" s="1" t="s">
        <v>256</v>
      </c>
      <c r="E29" s="1" t="s">
        <v>382</v>
      </c>
      <c r="F29" s="1" t="s">
        <v>148</v>
      </c>
      <c r="G29" s="1" t="s">
        <v>174</v>
      </c>
      <c r="H29" s="1" t="s">
        <v>174</v>
      </c>
    </row>
    <row r="30" spans="1:15" x14ac:dyDescent="0.2">
      <c r="B30" t="s">
        <v>336</v>
      </c>
      <c r="C30" s="1" t="s">
        <v>237</v>
      </c>
      <c r="D30" s="1" t="s">
        <v>252</v>
      </c>
      <c r="E30" s="1" t="s">
        <v>251</v>
      </c>
      <c r="F30" s="1" t="s">
        <v>403</v>
      </c>
      <c r="G30" s="1" t="s">
        <v>175</v>
      </c>
      <c r="H30" s="1" t="s">
        <v>73</v>
      </c>
    </row>
    <row r="31" spans="1:15" x14ac:dyDescent="0.2">
      <c r="C31" s="1" t="s">
        <v>350</v>
      </c>
      <c r="D31" s="1" t="s">
        <v>367</v>
      </c>
      <c r="E31" s="1" t="s">
        <v>248</v>
      </c>
      <c r="F31" s="1" t="s">
        <v>407</v>
      </c>
      <c r="G31" s="1" t="s">
        <v>420</v>
      </c>
      <c r="H31" s="1" t="s">
        <v>388</v>
      </c>
    </row>
    <row r="32" spans="1:15" x14ac:dyDescent="0.2">
      <c r="B32" t="s">
        <v>206</v>
      </c>
      <c r="C32" s="1" t="s">
        <v>351</v>
      </c>
      <c r="D32" s="1" t="s">
        <v>368</v>
      </c>
      <c r="E32" s="1" t="s">
        <v>75</v>
      </c>
      <c r="F32" s="1" t="s">
        <v>23</v>
      </c>
      <c r="G32" s="1" t="s">
        <v>82</v>
      </c>
      <c r="H32" s="1" t="s">
        <v>242</v>
      </c>
      <c r="J32" s="6" t="b">
        <f t="shared" ref="J32:O32" si="3">C32&gt;C30</f>
        <v>0</v>
      </c>
      <c r="K32" s="6" t="b">
        <f t="shared" si="3"/>
        <v>0</v>
      </c>
      <c r="L32" s="6" t="b">
        <f t="shared" si="3"/>
        <v>0</v>
      </c>
      <c r="M32" s="6" t="b">
        <f t="shared" si="3"/>
        <v>1</v>
      </c>
      <c r="N32" s="6" t="b">
        <f t="shared" si="3"/>
        <v>0</v>
      </c>
      <c r="O32" s="6" t="b">
        <f t="shared" si="3"/>
        <v>0</v>
      </c>
    </row>
    <row r="33" spans="1:15" x14ac:dyDescent="0.2">
      <c r="C33" s="1" t="s">
        <v>352</v>
      </c>
      <c r="D33" s="1" t="s">
        <v>240</v>
      </c>
      <c r="E33" s="1" t="s">
        <v>148</v>
      </c>
      <c r="F33" s="1" t="s">
        <v>74</v>
      </c>
      <c r="G33" s="1" t="s">
        <v>421</v>
      </c>
      <c r="H33" s="1" t="s">
        <v>200</v>
      </c>
    </row>
    <row r="34" spans="1:15" x14ac:dyDescent="0.2">
      <c r="A34" t="s">
        <v>592</v>
      </c>
      <c r="B34" t="s">
        <v>204</v>
      </c>
      <c r="C34" s="1" t="s">
        <v>38</v>
      </c>
      <c r="D34" s="1" t="s">
        <v>369</v>
      </c>
      <c r="E34" s="1" t="s">
        <v>383</v>
      </c>
      <c r="F34" s="1" t="s">
        <v>84</v>
      </c>
      <c r="G34" s="1" t="s">
        <v>18</v>
      </c>
      <c r="H34" s="1" t="s">
        <v>122</v>
      </c>
    </row>
    <row r="35" spans="1:15" x14ac:dyDescent="0.2">
      <c r="C35" s="1" t="s">
        <v>320</v>
      </c>
      <c r="D35" s="1" t="s">
        <v>85</v>
      </c>
      <c r="E35" s="1" t="s">
        <v>234</v>
      </c>
      <c r="F35" s="1" t="s">
        <v>68</v>
      </c>
      <c r="G35" s="1" t="s">
        <v>422</v>
      </c>
      <c r="H35" s="1" t="s">
        <v>76</v>
      </c>
    </row>
    <row r="36" spans="1:15" x14ac:dyDescent="0.2">
      <c r="B36" t="s">
        <v>205</v>
      </c>
      <c r="C36" s="1" t="s">
        <v>40</v>
      </c>
      <c r="D36" s="1" t="s">
        <v>370</v>
      </c>
      <c r="E36" s="1" t="s">
        <v>384</v>
      </c>
      <c r="F36" s="1" t="s">
        <v>408</v>
      </c>
      <c r="G36" s="1" t="s">
        <v>423</v>
      </c>
      <c r="H36" s="1" t="s">
        <v>436</v>
      </c>
    </row>
    <row r="37" spans="1:15" x14ac:dyDescent="0.2">
      <c r="C37" s="1" t="s">
        <v>254</v>
      </c>
      <c r="D37" s="1" t="s">
        <v>371</v>
      </c>
      <c r="E37" s="1" t="s">
        <v>385</v>
      </c>
      <c r="F37" s="1" t="s">
        <v>409</v>
      </c>
      <c r="G37" s="1" t="s">
        <v>218</v>
      </c>
      <c r="H37" s="1" t="s">
        <v>437</v>
      </c>
    </row>
    <row r="38" spans="1:15" x14ac:dyDescent="0.2">
      <c r="B38" t="s">
        <v>336</v>
      </c>
      <c r="C38" s="1" t="s">
        <v>43</v>
      </c>
      <c r="D38" s="1" t="s">
        <v>220</v>
      </c>
      <c r="E38" s="1" t="s">
        <v>89</v>
      </c>
      <c r="F38" s="1" t="s">
        <v>410</v>
      </c>
      <c r="G38" s="1" t="s">
        <v>413</v>
      </c>
      <c r="H38" s="1" t="s">
        <v>438</v>
      </c>
    </row>
    <row r="39" spans="1:15" x14ac:dyDescent="0.2">
      <c r="C39" s="1" t="s">
        <v>353</v>
      </c>
      <c r="D39" s="1" t="s">
        <v>372</v>
      </c>
      <c r="E39" s="1" t="s">
        <v>386</v>
      </c>
      <c r="F39" s="1" t="s">
        <v>148</v>
      </c>
      <c r="G39" s="1" t="s">
        <v>180</v>
      </c>
      <c r="H39" s="1" t="s">
        <v>83</v>
      </c>
    </row>
    <row r="40" spans="1:15" x14ac:dyDescent="0.2">
      <c r="B40" t="s">
        <v>206</v>
      </c>
      <c r="C40" s="1" t="s">
        <v>18</v>
      </c>
      <c r="D40" s="1" t="s">
        <v>162</v>
      </c>
      <c r="E40" s="1" t="s">
        <v>387</v>
      </c>
      <c r="F40" s="1" t="s">
        <v>411</v>
      </c>
      <c r="G40" s="1" t="s">
        <v>214</v>
      </c>
      <c r="H40" s="1" t="s">
        <v>439</v>
      </c>
      <c r="J40" s="6" t="b">
        <f t="shared" ref="J40:O40" si="4">C40&gt;C38</f>
        <v>0</v>
      </c>
      <c r="K40" s="6" t="b">
        <f t="shared" si="4"/>
        <v>0</v>
      </c>
      <c r="L40" s="6" t="b">
        <f t="shared" si="4"/>
        <v>0</v>
      </c>
      <c r="M40" s="6" t="b">
        <f t="shared" si="4"/>
        <v>1</v>
      </c>
      <c r="N40" s="6" t="b">
        <f t="shared" si="4"/>
        <v>0</v>
      </c>
      <c r="O40" s="6" t="b">
        <f t="shared" si="4"/>
        <v>0</v>
      </c>
    </row>
    <row r="41" spans="1:15" x14ac:dyDescent="0.2">
      <c r="C41" s="1" t="s">
        <v>354</v>
      </c>
      <c r="D41" s="1" t="s">
        <v>373</v>
      </c>
      <c r="E41" s="1" t="s">
        <v>388</v>
      </c>
      <c r="F41" s="1" t="s">
        <v>412</v>
      </c>
      <c r="G41" s="1" t="s">
        <v>424</v>
      </c>
      <c r="H41" s="1" t="s">
        <v>152</v>
      </c>
    </row>
    <row r="42" spans="1:15" x14ac:dyDescent="0.2">
      <c r="C42" s="1" t="s">
        <v>0</v>
      </c>
      <c r="D42" s="1" t="s">
        <v>0</v>
      </c>
    </row>
    <row r="43" spans="1:15" x14ac:dyDescent="0.2">
      <c r="A43" s="2" t="s">
        <v>595</v>
      </c>
      <c r="B43" s="2"/>
      <c r="C43" s="4" t="s">
        <v>48</v>
      </c>
      <c r="D43" s="4" t="s">
        <v>94</v>
      </c>
      <c r="E43" s="4" t="s">
        <v>127</v>
      </c>
      <c r="F43" s="4" t="s">
        <v>153</v>
      </c>
      <c r="G43" s="4" t="s">
        <v>181</v>
      </c>
      <c r="H43" s="4" t="s">
        <v>203</v>
      </c>
    </row>
    <row r="44" spans="1:15" x14ac:dyDescent="0.2">
      <c r="A44" t="s">
        <v>598</v>
      </c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 t="s">
        <v>0</v>
      </c>
    </row>
  </sheetData>
  <mergeCells count="1">
    <mergeCell ref="J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1DFA-DAF4-4ED5-A702-01503167DE85}">
  <dimension ref="A1:O72"/>
  <sheetViews>
    <sheetView topLeftCell="A10" workbookViewId="0">
      <selection activeCell="A44" sqref="A44"/>
    </sheetView>
  </sheetViews>
  <sheetFormatPr defaultRowHeight="12.75" x14ac:dyDescent="0.2"/>
  <cols>
    <col min="2" max="2" width="60.7109375" customWidth="1"/>
    <col min="3" max="8" width="11" customWidth="1"/>
    <col min="10" max="15" width="9.140625" style="6"/>
  </cols>
  <sheetData>
    <row r="1" spans="1:15" x14ac:dyDescent="0.2">
      <c r="A1" s="2" t="s">
        <v>593</v>
      </c>
      <c r="B1" s="2" t="s">
        <v>594</v>
      </c>
      <c r="C1" s="5">
        <v>2011</v>
      </c>
      <c r="D1" s="5">
        <v>2013</v>
      </c>
      <c r="E1" s="5">
        <v>2015</v>
      </c>
      <c r="F1" s="5">
        <v>2017</v>
      </c>
      <c r="G1" s="5">
        <v>2020</v>
      </c>
      <c r="H1" s="5">
        <v>2022</v>
      </c>
      <c r="J1" s="15" t="s">
        <v>597</v>
      </c>
      <c r="K1" s="15"/>
      <c r="L1" s="15"/>
      <c r="M1" s="15"/>
      <c r="N1" s="15"/>
      <c r="O1" s="15"/>
    </row>
    <row r="2" spans="1:15" x14ac:dyDescent="0.2">
      <c r="A2" t="s">
        <v>588</v>
      </c>
      <c r="B2" t="s">
        <v>204</v>
      </c>
      <c r="C2" s="1" t="s">
        <v>440</v>
      </c>
      <c r="D2" s="1" t="s">
        <v>334</v>
      </c>
      <c r="E2" s="1" t="s">
        <v>374</v>
      </c>
      <c r="F2" s="1" t="s">
        <v>480</v>
      </c>
      <c r="G2" s="1" t="s">
        <v>154</v>
      </c>
      <c r="H2" s="1" t="s">
        <v>154</v>
      </c>
    </row>
    <row r="3" spans="1:15" x14ac:dyDescent="0.2">
      <c r="C3" s="1" t="s">
        <v>1</v>
      </c>
      <c r="D3" s="1" t="s">
        <v>50</v>
      </c>
      <c r="E3" s="1" t="s">
        <v>96</v>
      </c>
      <c r="F3" s="1" t="s">
        <v>481</v>
      </c>
      <c r="G3" s="1" t="s">
        <v>183</v>
      </c>
      <c r="H3" s="1" t="s">
        <v>514</v>
      </c>
    </row>
    <row r="4" spans="1:15" x14ac:dyDescent="0.2">
      <c r="B4" t="s">
        <v>205</v>
      </c>
      <c r="C4" s="1" t="s">
        <v>441</v>
      </c>
      <c r="D4" s="1" t="s">
        <v>457</v>
      </c>
      <c r="E4" s="1" t="s">
        <v>375</v>
      </c>
      <c r="F4" s="1" t="s">
        <v>482</v>
      </c>
      <c r="G4" s="1" t="s">
        <v>323</v>
      </c>
      <c r="H4" s="1" t="s">
        <v>515</v>
      </c>
    </row>
    <row r="5" spans="1:15" x14ac:dyDescent="0.2">
      <c r="C5" s="1" t="s">
        <v>442</v>
      </c>
      <c r="D5" s="1" t="s">
        <v>320</v>
      </c>
      <c r="E5" s="1" t="s">
        <v>97</v>
      </c>
      <c r="F5" s="1" t="s">
        <v>483</v>
      </c>
      <c r="G5" s="1" t="s">
        <v>503</v>
      </c>
      <c r="H5" s="1" t="s">
        <v>316</v>
      </c>
    </row>
    <row r="6" spans="1:15" x14ac:dyDescent="0.2">
      <c r="B6" t="s">
        <v>336</v>
      </c>
      <c r="C6" s="1" t="s">
        <v>4</v>
      </c>
      <c r="D6" s="1" t="s">
        <v>315</v>
      </c>
      <c r="E6" s="1" t="s">
        <v>314</v>
      </c>
      <c r="F6" s="1" t="s">
        <v>304</v>
      </c>
      <c r="G6" s="1" t="s">
        <v>504</v>
      </c>
      <c r="H6" s="1" t="s">
        <v>516</v>
      </c>
    </row>
    <row r="7" spans="1:15" x14ac:dyDescent="0.2">
      <c r="C7" s="1" t="s">
        <v>443</v>
      </c>
      <c r="D7" s="1" t="s">
        <v>52</v>
      </c>
      <c r="E7" s="1" t="s">
        <v>468</v>
      </c>
      <c r="F7" s="1" t="s">
        <v>484</v>
      </c>
      <c r="G7" s="1" t="s">
        <v>185</v>
      </c>
      <c r="H7" s="1" t="s">
        <v>129</v>
      </c>
    </row>
    <row r="8" spans="1:15" x14ac:dyDescent="0.2">
      <c r="B8" t="s">
        <v>206</v>
      </c>
      <c r="C8" s="1" t="s">
        <v>444</v>
      </c>
      <c r="D8" s="1" t="s">
        <v>458</v>
      </c>
      <c r="E8" s="1" t="s">
        <v>469</v>
      </c>
      <c r="F8" s="1" t="s">
        <v>485</v>
      </c>
      <c r="G8" s="1" t="s">
        <v>505</v>
      </c>
      <c r="H8" s="1" t="s">
        <v>517</v>
      </c>
      <c r="J8" s="6" t="b">
        <f>C8&gt;C6</f>
        <v>1</v>
      </c>
      <c r="K8" s="6" t="b">
        <f t="shared" ref="K8:N8" si="0">D8&gt;D6</f>
        <v>1</v>
      </c>
      <c r="L8" s="6" t="b">
        <f t="shared" si="0"/>
        <v>1</v>
      </c>
      <c r="M8" s="6" t="b">
        <f t="shared" si="0"/>
        <v>0</v>
      </c>
      <c r="N8" s="6" t="b">
        <f t="shared" si="0"/>
        <v>1</v>
      </c>
      <c r="O8" s="6" t="b">
        <f>H8&gt;H6</f>
        <v>1</v>
      </c>
    </row>
    <row r="9" spans="1:15" x14ac:dyDescent="0.2">
      <c r="C9" s="1" t="s">
        <v>445</v>
      </c>
      <c r="D9" s="1" t="s">
        <v>459</v>
      </c>
      <c r="E9" s="1" t="s">
        <v>29</v>
      </c>
      <c r="F9" s="1" t="s">
        <v>486</v>
      </c>
      <c r="G9" s="1" t="s">
        <v>506</v>
      </c>
      <c r="H9" s="1" t="s">
        <v>41</v>
      </c>
    </row>
    <row r="10" spans="1:15" x14ac:dyDescent="0.2">
      <c r="A10" t="s">
        <v>589</v>
      </c>
      <c r="B10" t="s">
        <v>204</v>
      </c>
      <c r="C10" s="1" t="s">
        <v>9</v>
      </c>
      <c r="D10" s="1" t="s">
        <v>56</v>
      </c>
      <c r="E10" s="1" t="s">
        <v>84</v>
      </c>
      <c r="F10" s="1" t="s">
        <v>88</v>
      </c>
      <c r="G10" s="1" t="s">
        <v>160</v>
      </c>
      <c r="H10" s="1" t="s">
        <v>42</v>
      </c>
    </row>
    <row r="11" spans="1:15" x14ac:dyDescent="0.2">
      <c r="C11" s="1" t="s">
        <v>10</v>
      </c>
      <c r="D11" s="1" t="s">
        <v>13</v>
      </c>
      <c r="E11" s="1" t="s">
        <v>102</v>
      </c>
      <c r="F11" s="1" t="s">
        <v>7</v>
      </c>
      <c r="G11" s="1" t="s">
        <v>417</v>
      </c>
      <c r="H11" s="1" t="s">
        <v>280</v>
      </c>
    </row>
    <row r="12" spans="1:15" x14ac:dyDescent="0.2">
      <c r="B12" t="s">
        <v>205</v>
      </c>
      <c r="C12" s="1" t="s">
        <v>11</v>
      </c>
      <c r="D12" s="1" t="s">
        <v>57</v>
      </c>
      <c r="E12" s="1" t="s">
        <v>103</v>
      </c>
      <c r="F12" s="1" t="s">
        <v>295</v>
      </c>
      <c r="G12" s="1" t="s">
        <v>11</v>
      </c>
      <c r="H12" s="1" t="s">
        <v>62</v>
      </c>
    </row>
    <row r="13" spans="1:15" x14ac:dyDescent="0.2">
      <c r="C13" s="1" t="s">
        <v>293</v>
      </c>
      <c r="D13" s="1" t="s">
        <v>58</v>
      </c>
      <c r="E13" s="1" t="s">
        <v>470</v>
      </c>
      <c r="F13" s="1" t="s">
        <v>487</v>
      </c>
      <c r="G13" s="1" t="s">
        <v>507</v>
      </c>
      <c r="H13" s="1" t="s">
        <v>172</v>
      </c>
    </row>
    <row r="14" spans="1:15" x14ac:dyDescent="0.2">
      <c r="B14" t="s">
        <v>336</v>
      </c>
      <c r="C14" s="1" t="s">
        <v>14</v>
      </c>
      <c r="D14" s="1" t="s">
        <v>387</v>
      </c>
      <c r="E14" s="1" t="s">
        <v>471</v>
      </c>
      <c r="F14" s="1" t="s">
        <v>479</v>
      </c>
      <c r="G14" s="1" t="s">
        <v>191</v>
      </c>
      <c r="H14" s="1" t="s">
        <v>518</v>
      </c>
    </row>
    <row r="15" spans="1:15" x14ac:dyDescent="0.2">
      <c r="C15" s="1" t="s">
        <v>101</v>
      </c>
      <c r="D15" s="1" t="s">
        <v>227</v>
      </c>
      <c r="E15" s="1" t="s">
        <v>280</v>
      </c>
      <c r="F15" s="1" t="s">
        <v>488</v>
      </c>
      <c r="G15" s="1" t="s">
        <v>508</v>
      </c>
      <c r="H15" s="1" t="s">
        <v>519</v>
      </c>
    </row>
    <row r="16" spans="1:15" x14ac:dyDescent="0.2">
      <c r="B16" t="s">
        <v>206</v>
      </c>
      <c r="C16" s="1" t="s">
        <v>16</v>
      </c>
      <c r="D16" s="1" t="s">
        <v>284</v>
      </c>
      <c r="E16" s="1" t="s">
        <v>107</v>
      </c>
      <c r="F16" s="1" t="s">
        <v>489</v>
      </c>
      <c r="G16" s="1" t="s">
        <v>439</v>
      </c>
      <c r="H16" s="1" t="s">
        <v>162</v>
      </c>
      <c r="J16" s="6" t="b">
        <f t="shared" ref="J16:O16" si="1">C16&gt;C14</f>
        <v>1</v>
      </c>
      <c r="K16" s="6" t="b">
        <f t="shared" si="1"/>
        <v>1</v>
      </c>
      <c r="L16" s="6" t="b">
        <f t="shared" si="1"/>
        <v>1</v>
      </c>
      <c r="M16" s="6" t="b">
        <f t="shared" si="1"/>
        <v>0</v>
      </c>
      <c r="N16" s="6" t="b">
        <f t="shared" si="1"/>
        <v>1</v>
      </c>
      <c r="O16" s="6" t="b">
        <f t="shared" si="1"/>
        <v>1</v>
      </c>
    </row>
    <row r="17" spans="1:15" x14ac:dyDescent="0.2">
      <c r="C17" s="1" t="s">
        <v>446</v>
      </c>
      <c r="D17" s="1" t="s">
        <v>460</v>
      </c>
      <c r="E17" s="1" t="s">
        <v>472</v>
      </c>
      <c r="F17" s="1" t="s">
        <v>490</v>
      </c>
      <c r="G17" s="1" t="s">
        <v>174</v>
      </c>
      <c r="H17" s="1" t="s">
        <v>520</v>
      </c>
    </row>
    <row r="18" spans="1:15" x14ac:dyDescent="0.2">
      <c r="A18" t="s">
        <v>590</v>
      </c>
      <c r="B18" t="s">
        <v>204</v>
      </c>
      <c r="C18" s="1" t="s">
        <v>19</v>
      </c>
      <c r="D18" s="1" t="s">
        <v>64</v>
      </c>
      <c r="E18" s="1" t="s">
        <v>165</v>
      </c>
      <c r="F18" s="1" t="s">
        <v>263</v>
      </c>
      <c r="G18" s="1" t="s">
        <v>19</v>
      </c>
      <c r="H18" s="1" t="s">
        <v>271</v>
      </c>
    </row>
    <row r="19" spans="1:15" x14ac:dyDescent="0.2">
      <c r="C19" s="1" t="s">
        <v>280</v>
      </c>
      <c r="D19" s="1" t="s">
        <v>461</v>
      </c>
      <c r="E19" s="1" t="s">
        <v>379</v>
      </c>
      <c r="F19" s="1" t="s">
        <v>491</v>
      </c>
      <c r="G19" s="1" t="s">
        <v>166</v>
      </c>
      <c r="H19" s="1" t="s">
        <v>521</v>
      </c>
    </row>
    <row r="20" spans="1:15" x14ac:dyDescent="0.2">
      <c r="B20" t="s">
        <v>205</v>
      </c>
      <c r="C20" s="1" t="s">
        <v>21</v>
      </c>
      <c r="D20" s="1" t="s">
        <v>66</v>
      </c>
      <c r="E20" s="1" t="s">
        <v>473</v>
      </c>
      <c r="F20" s="1" t="s">
        <v>492</v>
      </c>
      <c r="G20" s="1" t="s">
        <v>274</v>
      </c>
      <c r="H20" s="1" t="s">
        <v>432</v>
      </c>
    </row>
    <row r="21" spans="1:15" x14ac:dyDescent="0.2">
      <c r="C21" s="1" t="s">
        <v>233</v>
      </c>
      <c r="D21" s="1" t="s">
        <v>462</v>
      </c>
      <c r="E21" s="1" t="s">
        <v>382</v>
      </c>
      <c r="F21" s="1" t="s">
        <v>431</v>
      </c>
      <c r="G21" s="1" t="s">
        <v>168</v>
      </c>
      <c r="H21" s="1" t="s">
        <v>195</v>
      </c>
    </row>
    <row r="22" spans="1:15" x14ac:dyDescent="0.2">
      <c r="B22" t="s">
        <v>336</v>
      </c>
      <c r="C22" s="1" t="s">
        <v>243</v>
      </c>
      <c r="D22" s="1" t="s">
        <v>27</v>
      </c>
      <c r="E22" s="1" t="s">
        <v>270</v>
      </c>
      <c r="F22" s="1" t="s">
        <v>264</v>
      </c>
      <c r="G22" s="1" t="s">
        <v>69</v>
      </c>
      <c r="H22" s="1" t="s">
        <v>251</v>
      </c>
    </row>
    <row r="23" spans="1:15" x14ac:dyDescent="0.2">
      <c r="C23" s="1" t="s">
        <v>448</v>
      </c>
      <c r="D23" s="1" t="s">
        <v>218</v>
      </c>
      <c r="E23" s="1" t="s">
        <v>113</v>
      </c>
      <c r="F23" s="1" t="s">
        <v>493</v>
      </c>
      <c r="G23" s="1" t="s">
        <v>509</v>
      </c>
      <c r="H23" s="1" t="s">
        <v>522</v>
      </c>
    </row>
    <row r="24" spans="1:15" x14ac:dyDescent="0.2">
      <c r="B24" t="s">
        <v>206</v>
      </c>
      <c r="C24" s="1" t="s">
        <v>25</v>
      </c>
      <c r="D24" s="1" t="s">
        <v>139</v>
      </c>
      <c r="E24" s="1" t="s">
        <v>71</v>
      </c>
      <c r="F24" s="1" t="s">
        <v>494</v>
      </c>
      <c r="G24" s="1" t="s">
        <v>109</v>
      </c>
      <c r="H24" s="1" t="s">
        <v>263</v>
      </c>
      <c r="J24" s="6" t="b">
        <f t="shared" ref="J24:O24" si="2">C24&gt;C22</f>
        <v>1</v>
      </c>
      <c r="K24" s="6" t="b">
        <f t="shared" si="2"/>
        <v>1</v>
      </c>
      <c r="L24" s="6" t="b">
        <f t="shared" si="2"/>
        <v>1</v>
      </c>
      <c r="M24" s="6" t="b">
        <f t="shared" si="2"/>
        <v>0</v>
      </c>
      <c r="N24" s="6" t="b">
        <f t="shared" si="2"/>
        <v>1</v>
      </c>
      <c r="O24" s="6" t="b">
        <f t="shared" si="2"/>
        <v>1</v>
      </c>
    </row>
    <row r="25" spans="1:15" x14ac:dyDescent="0.2">
      <c r="C25" s="1" t="s">
        <v>449</v>
      </c>
      <c r="D25" s="1" t="s">
        <v>282</v>
      </c>
      <c r="E25" s="1" t="s">
        <v>474</v>
      </c>
      <c r="F25" s="1" t="s">
        <v>495</v>
      </c>
      <c r="G25" s="1" t="s">
        <v>170</v>
      </c>
      <c r="H25" s="1" t="s">
        <v>418</v>
      </c>
    </row>
    <row r="26" spans="1:15" x14ac:dyDescent="0.2">
      <c r="A26" t="s">
        <v>591</v>
      </c>
      <c r="B26" t="s">
        <v>204</v>
      </c>
      <c r="C26" s="1" t="s">
        <v>28</v>
      </c>
      <c r="D26" s="1" t="s">
        <v>120</v>
      </c>
      <c r="E26" s="1" t="s">
        <v>116</v>
      </c>
      <c r="F26" s="1" t="s">
        <v>497</v>
      </c>
      <c r="G26" s="1" t="s">
        <v>171</v>
      </c>
      <c r="H26" s="1" t="s">
        <v>78</v>
      </c>
    </row>
    <row r="27" spans="1:15" x14ac:dyDescent="0.2">
      <c r="C27" s="1" t="s">
        <v>451</v>
      </c>
      <c r="D27" s="1" t="s">
        <v>422</v>
      </c>
      <c r="E27" s="1" t="s">
        <v>260</v>
      </c>
      <c r="F27" s="1" t="s">
        <v>353</v>
      </c>
      <c r="G27" s="1" t="s">
        <v>450</v>
      </c>
      <c r="H27" s="1" t="s">
        <v>138</v>
      </c>
    </row>
    <row r="28" spans="1:15" x14ac:dyDescent="0.2">
      <c r="B28" t="s">
        <v>205</v>
      </c>
      <c r="C28" s="1" t="s">
        <v>452</v>
      </c>
      <c r="D28" s="1" t="s">
        <v>77</v>
      </c>
      <c r="E28" s="1" t="s">
        <v>145</v>
      </c>
      <c r="F28" s="1" t="s">
        <v>498</v>
      </c>
      <c r="G28" s="1" t="s">
        <v>258</v>
      </c>
      <c r="H28" s="1" t="s">
        <v>198</v>
      </c>
    </row>
    <row r="29" spans="1:15" x14ac:dyDescent="0.2">
      <c r="C29" s="1" t="s">
        <v>31</v>
      </c>
      <c r="D29" s="1" t="s">
        <v>463</v>
      </c>
      <c r="E29" s="1" t="s">
        <v>475</v>
      </c>
      <c r="F29" s="1" t="s">
        <v>168</v>
      </c>
      <c r="G29" s="1" t="s">
        <v>195</v>
      </c>
      <c r="H29" s="1" t="s">
        <v>164</v>
      </c>
    </row>
    <row r="30" spans="1:15" x14ac:dyDescent="0.2">
      <c r="B30" t="s">
        <v>336</v>
      </c>
      <c r="C30" s="1" t="s">
        <v>34</v>
      </c>
      <c r="D30" s="1" t="s">
        <v>252</v>
      </c>
      <c r="E30" s="1" t="s">
        <v>251</v>
      </c>
      <c r="F30" s="1" t="s">
        <v>243</v>
      </c>
      <c r="G30" s="1" t="s">
        <v>175</v>
      </c>
      <c r="H30" s="1" t="s">
        <v>73</v>
      </c>
    </row>
    <row r="31" spans="1:15" x14ac:dyDescent="0.2">
      <c r="C31" s="1" t="s">
        <v>453</v>
      </c>
      <c r="D31" s="1" t="s">
        <v>464</v>
      </c>
      <c r="E31" s="1" t="s">
        <v>218</v>
      </c>
      <c r="F31" s="1" t="s">
        <v>499</v>
      </c>
      <c r="G31" s="1" t="s">
        <v>47</v>
      </c>
      <c r="H31" s="1" t="s">
        <v>523</v>
      </c>
    </row>
    <row r="32" spans="1:15" x14ac:dyDescent="0.2">
      <c r="B32" t="s">
        <v>206</v>
      </c>
      <c r="C32" s="1" t="s">
        <v>36</v>
      </c>
      <c r="D32" s="1" t="s">
        <v>244</v>
      </c>
      <c r="E32" s="1" t="s">
        <v>120</v>
      </c>
      <c r="F32" s="1" t="s">
        <v>147</v>
      </c>
      <c r="G32" s="1" t="s">
        <v>78</v>
      </c>
      <c r="H32" s="1" t="s">
        <v>242</v>
      </c>
      <c r="J32" s="6" t="b">
        <f t="shared" ref="J32:O32" si="3">C32&gt;C30</f>
        <v>0</v>
      </c>
      <c r="K32" s="6" t="b">
        <f t="shared" si="3"/>
        <v>0</v>
      </c>
      <c r="L32" s="6" t="b">
        <f t="shared" si="3"/>
        <v>0</v>
      </c>
      <c r="M32" s="6" t="b">
        <f t="shared" si="3"/>
        <v>1</v>
      </c>
      <c r="N32" s="6" t="b">
        <f t="shared" si="3"/>
        <v>0</v>
      </c>
      <c r="O32" s="6" t="b">
        <f t="shared" si="3"/>
        <v>0</v>
      </c>
    </row>
    <row r="33" spans="1:15" x14ac:dyDescent="0.2">
      <c r="C33" s="1" t="s">
        <v>454</v>
      </c>
      <c r="D33" s="1" t="s">
        <v>465</v>
      </c>
      <c r="E33" s="1" t="s">
        <v>121</v>
      </c>
      <c r="F33" s="1" t="s">
        <v>74</v>
      </c>
      <c r="G33" s="1" t="s">
        <v>421</v>
      </c>
      <c r="H33" s="1" t="s">
        <v>524</v>
      </c>
    </row>
    <row r="34" spans="1:15" x14ac:dyDescent="0.2">
      <c r="A34" t="s">
        <v>592</v>
      </c>
      <c r="B34" t="s">
        <v>204</v>
      </c>
      <c r="C34" s="1" t="s">
        <v>38</v>
      </c>
      <c r="D34" s="1" t="s">
        <v>84</v>
      </c>
      <c r="E34" s="1" t="s">
        <v>383</v>
      </c>
      <c r="F34" s="1" t="s">
        <v>59</v>
      </c>
      <c r="G34" s="1" t="s">
        <v>214</v>
      </c>
      <c r="H34" s="1" t="s">
        <v>42</v>
      </c>
    </row>
    <row r="35" spans="1:15" x14ac:dyDescent="0.2">
      <c r="C35" s="1" t="s">
        <v>236</v>
      </c>
      <c r="D35" s="1" t="s">
        <v>466</v>
      </c>
      <c r="E35" s="1" t="s">
        <v>476</v>
      </c>
      <c r="F35" s="1" t="s">
        <v>260</v>
      </c>
      <c r="G35" s="1" t="s">
        <v>510</v>
      </c>
      <c r="H35" s="1" t="s">
        <v>422</v>
      </c>
    </row>
    <row r="36" spans="1:15" x14ac:dyDescent="0.2">
      <c r="B36" t="s">
        <v>205</v>
      </c>
      <c r="C36" s="1" t="s">
        <v>455</v>
      </c>
      <c r="D36" s="1" t="s">
        <v>467</v>
      </c>
      <c r="E36" s="1" t="s">
        <v>477</v>
      </c>
      <c r="F36" s="1" t="s">
        <v>500</v>
      </c>
      <c r="G36" s="1" t="s">
        <v>511</v>
      </c>
      <c r="H36" s="1" t="s">
        <v>525</v>
      </c>
    </row>
    <row r="37" spans="1:15" x14ac:dyDescent="0.2">
      <c r="C37" s="1" t="s">
        <v>227</v>
      </c>
      <c r="D37" s="1" t="s">
        <v>87</v>
      </c>
      <c r="E37" s="1" t="s">
        <v>385</v>
      </c>
      <c r="F37" s="1" t="s">
        <v>501</v>
      </c>
      <c r="G37" s="1" t="s">
        <v>512</v>
      </c>
      <c r="H37" s="1" t="s">
        <v>526</v>
      </c>
    </row>
    <row r="38" spans="1:15" x14ac:dyDescent="0.2">
      <c r="B38" t="s">
        <v>336</v>
      </c>
      <c r="C38" s="1" t="s">
        <v>43</v>
      </c>
      <c r="D38" s="1" t="s">
        <v>220</v>
      </c>
      <c r="E38" s="1" t="s">
        <v>89</v>
      </c>
      <c r="F38" s="1" t="s">
        <v>215</v>
      </c>
      <c r="G38" s="1" t="s">
        <v>413</v>
      </c>
      <c r="H38" s="1" t="s">
        <v>294</v>
      </c>
    </row>
    <row r="39" spans="1:15" x14ac:dyDescent="0.2">
      <c r="C39" s="1" t="s">
        <v>456</v>
      </c>
      <c r="D39" s="1" t="s">
        <v>166</v>
      </c>
      <c r="E39" s="1" t="s">
        <v>478</v>
      </c>
      <c r="F39" s="1" t="s">
        <v>217</v>
      </c>
      <c r="G39" s="1" t="s">
        <v>224</v>
      </c>
      <c r="H39" s="1" t="s">
        <v>527</v>
      </c>
    </row>
    <row r="40" spans="1:15" x14ac:dyDescent="0.2">
      <c r="B40" t="s">
        <v>206</v>
      </c>
      <c r="C40" s="1" t="s">
        <v>18</v>
      </c>
      <c r="D40" s="1" t="s">
        <v>162</v>
      </c>
      <c r="E40" s="1" t="s">
        <v>479</v>
      </c>
      <c r="F40" s="1" t="s">
        <v>502</v>
      </c>
      <c r="G40" s="1" t="s">
        <v>513</v>
      </c>
      <c r="H40" s="1" t="s">
        <v>213</v>
      </c>
      <c r="J40" s="6" t="b">
        <f t="shared" ref="J40:O40" si="4">C40&gt;C38</f>
        <v>0</v>
      </c>
      <c r="K40" s="6" t="b">
        <f t="shared" si="4"/>
        <v>0</v>
      </c>
      <c r="L40" s="6" t="b">
        <f t="shared" si="4"/>
        <v>0</v>
      </c>
      <c r="M40" s="6" t="b">
        <f t="shared" si="4"/>
        <v>1</v>
      </c>
      <c r="N40" s="6" t="b">
        <f t="shared" si="4"/>
        <v>0</v>
      </c>
      <c r="O40" s="6" t="b">
        <f t="shared" si="4"/>
        <v>0</v>
      </c>
    </row>
    <row r="41" spans="1:15" x14ac:dyDescent="0.2">
      <c r="C41" s="1" t="s">
        <v>115</v>
      </c>
      <c r="D41" s="1" t="s">
        <v>92</v>
      </c>
      <c r="E41" s="1" t="s">
        <v>266</v>
      </c>
      <c r="F41" s="1" t="s">
        <v>152</v>
      </c>
      <c r="G41" s="1" t="s">
        <v>495</v>
      </c>
      <c r="H41" s="1" t="s">
        <v>412</v>
      </c>
    </row>
    <row r="42" spans="1:15" x14ac:dyDescent="0.2">
      <c r="C42" s="1" t="s">
        <v>0</v>
      </c>
      <c r="D42" s="1" t="s">
        <v>0</v>
      </c>
    </row>
    <row r="43" spans="1:15" x14ac:dyDescent="0.2">
      <c r="A43" s="2" t="s">
        <v>595</v>
      </c>
      <c r="B43" s="2"/>
      <c r="C43" s="4" t="s">
        <v>48</v>
      </c>
      <c r="D43" s="4" t="s">
        <v>94</v>
      </c>
      <c r="E43" s="4" t="s">
        <v>127</v>
      </c>
      <c r="F43" s="4" t="s">
        <v>153</v>
      </c>
      <c r="G43" s="4" t="s">
        <v>181</v>
      </c>
      <c r="H43" s="4" t="s">
        <v>203</v>
      </c>
    </row>
    <row r="44" spans="1:15" x14ac:dyDescent="0.2">
      <c r="A44" t="s">
        <v>598</v>
      </c>
    </row>
    <row r="46" spans="1:15" x14ac:dyDescent="0.2">
      <c r="F46" s="1"/>
    </row>
    <row r="47" spans="1:15" x14ac:dyDescent="0.2">
      <c r="F47" s="1"/>
    </row>
    <row r="48" spans="1:15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8" spans="6:6" x14ac:dyDescent="0.2">
      <c r="F58" s="1"/>
    </row>
    <row r="59" spans="6:6" x14ac:dyDescent="0.2">
      <c r="F59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 t="s">
        <v>0</v>
      </c>
    </row>
  </sheetData>
  <mergeCells count="1">
    <mergeCell ref="J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8BF7-33FA-46E5-9053-A7375A2B4CFC}">
  <dimension ref="A1:O71"/>
  <sheetViews>
    <sheetView topLeftCell="A16" workbookViewId="0">
      <selection activeCell="A44" sqref="A44"/>
    </sheetView>
  </sheetViews>
  <sheetFormatPr defaultRowHeight="12.75" x14ac:dyDescent="0.2"/>
  <cols>
    <col min="2" max="2" width="60.7109375" customWidth="1"/>
    <col min="3" max="8" width="11" customWidth="1"/>
    <col min="10" max="15" width="9.140625" style="6"/>
  </cols>
  <sheetData>
    <row r="1" spans="1:15" x14ac:dyDescent="0.2">
      <c r="A1" s="2" t="s">
        <v>593</v>
      </c>
      <c r="B1" s="2" t="s">
        <v>594</v>
      </c>
      <c r="C1" s="5">
        <v>2011</v>
      </c>
      <c r="D1" s="5">
        <v>2013</v>
      </c>
      <c r="E1" s="5">
        <v>2015</v>
      </c>
      <c r="F1" s="5">
        <v>2017</v>
      </c>
      <c r="G1" s="5">
        <v>2020</v>
      </c>
      <c r="H1" s="5">
        <v>2022</v>
      </c>
      <c r="J1" s="15" t="s">
        <v>597</v>
      </c>
      <c r="K1" s="15"/>
      <c r="L1" s="15"/>
      <c r="M1" s="15"/>
      <c r="N1" s="15"/>
      <c r="O1" s="15"/>
    </row>
    <row r="2" spans="1:15" x14ac:dyDescent="0.2">
      <c r="A2" t="s">
        <v>588</v>
      </c>
      <c r="B2" t="s">
        <v>204</v>
      </c>
      <c r="C2" s="1" t="s">
        <v>53</v>
      </c>
      <c r="D2" s="1" t="s">
        <v>49</v>
      </c>
      <c r="E2" s="1" t="s">
        <v>95</v>
      </c>
      <c r="F2" s="1" t="s">
        <v>554</v>
      </c>
      <c r="G2" s="1" t="s">
        <v>154</v>
      </c>
      <c r="H2" s="1" t="s">
        <v>154</v>
      </c>
    </row>
    <row r="3" spans="1:15" x14ac:dyDescent="0.2">
      <c r="C3" s="1" t="s">
        <v>338</v>
      </c>
      <c r="D3" s="1" t="s">
        <v>50</v>
      </c>
      <c r="E3" s="1" t="s">
        <v>96</v>
      </c>
      <c r="F3" s="1" t="s">
        <v>555</v>
      </c>
      <c r="G3" s="1" t="s">
        <v>155</v>
      </c>
      <c r="H3" s="1" t="s">
        <v>183</v>
      </c>
    </row>
    <row r="4" spans="1:15" x14ac:dyDescent="0.2">
      <c r="B4" t="s">
        <v>205</v>
      </c>
      <c r="C4" s="1" t="s">
        <v>528</v>
      </c>
      <c r="D4" s="1" t="s">
        <v>537</v>
      </c>
      <c r="E4" s="1" t="s">
        <v>375</v>
      </c>
      <c r="F4" s="1" t="s">
        <v>556</v>
      </c>
      <c r="G4" s="1" t="s">
        <v>573</v>
      </c>
      <c r="H4" s="1" t="s">
        <v>580</v>
      </c>
    </row>
    <row r="5" spans="1:15" x14ac:dyDescent="0.2">
      <c r="C5" s="1" t="s">
        <v>442</v>
      </c>
      <c r="D5" s="1" t="s">
        <v>39</v>
      </c>
      <c r="E5" s="1" t="s">
        <v>97</v>
      </c>
      <c r="F5" s="1" t="s">
        <v>557</v>
      </c>
      <c r="G5" s="1" t="s">
        <v>574</v>
      </c>
      <c r="H5" s="1" t="s">
        <v>581</v>
      </c>
    </row>
    <row r="6" spans="1:15" x14ac:dyDescent="0.2">
      <c r="B6" t="s">
        <v>336</v>
      </c>
      <c r="C6" s="1" t="s">
        <v>529</v>
      </c>
      <c r="D6" s="1" t="s">
        <v>538</v>
      </c>
      <c r="E6" s="1" t="s">
        <v>184</v>
      </c>
      <c r="F6" s="1" t="s">
        <v>558</v>
      </c>
      <c r="G6" s="1" t="s">
        <v>184</v>
      </c>
      <c r="H6" s="1" t="s">
        <v>427</v>
      </c>
    </row>
    <row r="7" spans="1:15" x14ac:dyDescent="0.2">
      <c r="C7" s="1" t="s">
        <v>530</v>
      </c>
      <c r="D7" s="1" t="s">
        <v>183</v>
      </c>
      <c r="E7" s="1" t="s">
        <v>547</v>
      </c>
      <c r="F7" s="1" t="s">
        <v>484</v>
      </c>
      <c r="G7" s="1" t="s">
        <v>575</v>
      </c>
      <c r="H7" s="1" t="s">
        <v>308</v>
      </c>
    </row>
    <row r="8" spans="1:15" x14ac:dyDescent="0.2">
      <c r="B8" t="s">
        <v>206</v>
      </c>
      <c r="C8" s="1" t="s">
        <v>307</v>
      </c>
      <c r="D8" s="1" t="s">
        <v>53</v>
      </c>
      <c r="E8" s="1" t="s">
        <v>469</v>
      </c>
      <c r="F8" s="1" t="s">
        <v>559</v>
      </c>
      <c r="G8" s="1" t="s">
        <v>182</v>
      </c>
      <c r="H8" s="1" t="s">
        <v>582</v>
      </c>
      <c r="J8" s="6" t="b">
        <f>C8&gt;C6</f>
        <v>1</v>
      </c>
      <c r="K8" s="6" t="b">
        <f t="shared" ref="K8:N8" si="0">D8&gt;D6</f>
        <v>1</v>
      </c>
      <c r="L8" s="6" t="b">
        <f t="shared" si="0"/>
        <v>1</v>
      </c>
      <c r="M8" s="6" t="b">
        <f t="shared" si="0"/>
        <v>0</v>
      </c>
      <c r="N8" s="6" t="b">
        <f t="shared" si="0"/>
        <v>1</v>
      </c>
      <c r="O8" s="6" t="b">
        <f>H8&gt;H6</f>
        <v>1</v>
      </c>
    </row>
    <row r="9" spans="1:15" x14ac:dyDescent="0.2">
      <c r="C9" s="1" t="s">
        <v>41</v>
      </c>
      <c r="D9" s="1" t="s">
        <v>539</v>
      </c>
      <c r="E9" s="1" t="s">
        <v>29</v>
      </c>
      <c r="F9" s="1" t="s">
        <v>560</v>
      </c>
      <c r="G9" s="1" t="s">
        <v>445</v>
      </c>
      <c r="H9" s="1" t="s">
        <v>41</v>
      </c>
    </row>
    <row r="10" spans="1:15" x14ac:dyDescent="0.2">
      <c r="A10" t="s">
        <v>589</v>
      </c>
      <c r="B10" t="s">
        <v>204</v>
      </c>
      <c r="C10" s="1" t="s">
        <v>284</v>
      </c>
      <c r="D10" s="1" t="s">
        <v>56</v>
      </c>
      <c r="E10" s="1" t="s">
        <v>84</v>
      </c>
      <c r="F10" s="1" t="s">
        <v>561</v>
      </c>
      <c r="G10" s="1" t="s">
        <v>160</v>
      </c>
      <c r="H10" s="1" t="s">
        <v>42</v>
      </c>
    </row>
    <row r="11" spans="1:15" x14ac:dyDescent="0.2">
      <c r="C11" s="1" t="s">
        <v>10</v>
      </c>
      <c r="D11" s="1" t="s">
        <v>13</v>
      </c>
      <c r="E11" s="1" t="s">
        <v>102</v>
      </c>
      <c r="F11" s="1" t="s">
        <v>562</v>
      </c>
      <c r="G11" s="1" t="s">
        <v>417</v>
      </c>
      <c r="H11" s="1" t="s">
        <v>188</v>
      </c>
    </row>
    <row r="12" spans="1:15" x14ac:dyDescent="0.2">
      <c r="B12" t="s">
        <v>205</v>
      </c>
      <c r="C12" s="1" t="s">
        <v>11</v>
      </c>
      <c r="D12" s="1" t="s">
        <v>57</v>
      </c>
      <c r="E12" s="1" t="s">
        <v>103</v>
      </c>
      <c r="F12" s="1" t="s">
        <v>295</v>
      </c>
      <c r="G12" s="1" t="s">
        <v>294</v>
      </c>
      <c r="H12" s="1" t="s">
        <v>284</v>
      </c>
    </row>
    <row r="13" spans="1:15" x14ac:dyDescent="0.2">
      <c r="C13" s="1" t="s">
        <v>531</v>
      </c>
      <c r="D13" s="1" t="s">
        <v>58</v>
      </c>
      <c r="E13" s="1" t="s">
        <v>104</v>
      </c>
      <c r="F13" s="1" t="s">
        <v>563</v>
      </c>
      <c r="G13" s="1" t="s">
        <v>507</v>
      </c>
      <c r="H13" s="1" t="s">
        <v>405</v>
      </c>
    </row>
    <row r="14" spans="1:15" x14ac:dyDescent="0.2">
      <c r="B14" t="s">
        <v>336</v>
      </c>
      <c r="C14" s="1" t="s">
        <v>447</v>
      </c>
      <c r="D14" s="1" t="s">
        <v>467</v>
      </c>
      <c r="E14" s="1" t="s">
        <v>548</v>
      </c>
      <c r="F14" s="1" t="s">
        <v>564</v>
      </c>
      <c r="G14" s="1" t="s">
        <v>191</v>
      </c>
      <c r="H14" s="1" t="s">
        <v>125</v>
      </c>
    </row>
    <row r="15" spans="1:15" x14ac:dyDescent="0.2">
      <c r="C15" s="1" t="s">
        <v>345</v>
      </c>
      <c r="D15" s="1" t="s">
        <v>61</v>
      </c>
      <c r="E15" s="1" t="s">
        <v>549</v>
      </c>
      <c r="F15" s="1" t="s">
        <v>565</v>
      </c>
      <c r="G15" s="1" t="s">
        <v>287</v>
      </c>
      <c r="H15" s="1" t="s">
        <v>285</v>
      </c>
    </row>
    <row r="16" spans="1:15" x14ac:dyDescent="0.2">
      <c r="B16" t="s">
        <v>206</v>
      </c>
      <c r="C16" s="1" t="s">
        <v>16</v>
      </c>
      <c r="D16" s="1" t="s">
        <v>284</v>
      </c>
      <c r="E16" s="1" t="s">
        <v>107</v>
      </c>
      <c r="F16" s="1" t="s">
        <v>387</v>
      </c>
      <c r="G16" s="1" t="s">
        <v>160</v>
      </c>
      <c r="H16" s="1" t="s">
        <v>191</v>
      </c>
      <c r="J16" s="6" t="b">
        <f t="shared" ref="J16:O16" si="1">C16&gt;C14</f>
        <v>1</v>
      </c>
      <c r="K16" s="6" t="b">
        <f t="shared" si="1"/>
        <v>1</v>
      </c>
      <c r="L16" s="6" t="b">
        <f t="shared" si="1"/>
        <v>1</v>
      </c>
      <c r="M16" s="6" t="b">
        <f t="shared" si="1"/>
        <v>0</v>
      </c>
      <c r="N16" s="6" t="b">
        <f t="shared" si="1"/>
        <v>1</v>
      </c>
      <c r="O16" s="6" t="b">
        <f t="shared" si="1"/>
        <v>1</v>
      </c>
    </row>
    <row r="17" spans="1:15" x14ac:dyDescent="0.2">
      <c r="C17" s="1" t="s">
        <v>532</v>
      </c>
      <c r="D17" s="1" t="s">
        <v>540</v>
      </c>
      <c r="E17" s="1" t="s">
        <v>550</v>
      </c>
      <c r="F17" s="1" t="s">
        <v>527</v>
      </c>
      <c r="G17" s="1" t="s">
        <v>81</v>
      </c>
      <c r="H17" s="1" t="s">
        <v>583</v>
      </c>
    </row>
    <row r="18" spans="1:15" x14ac:dyDescent="0.2">
      <c r="A18" t="s">
        <v>590</v>
      </c>
      <c r="B18" t="s">
        <v>204</v>
      </c>
      <c r="C18" s="1" t="s">
        <v>19</v>
      </c>
      <c r="D18" s="1" t="s">
        <v>64</v>
      </c>
      <c r="E18" s="1" t="s">
        <v>165</v>
      </c>
      <c r="F18" s="1" t="s">
        <v>566</v>
      </c>
      <c r="G18" s="1" t="s">
        <v>165</v>
      </c>
      <c r="H18" s="1" t="s">
        <v>64</v>
      </c>
    </row>
    <row r="19" spans="1:15" x14ac:dyDescent="0.2">
      <c r="C19" s="1" t="s">
        <v>20</v>
      </c>
      <c r="D19" s="1" t="s">
        <v>363</v>
      </c>
      <c r="E19" s="1" t="s">
        <v>110</v>
      </c>
      <c r="F19" s="1" t="s">
        <v>367</v>
      </c>
      <c r="G19" s="1" t="s">
        <v>166</v>
      </c>
      <c r="H19" s="1" t="s">
        <v>277</v>
      </c>
    </row>
    <row r="20" spans="1:15" x14ac:dyDescent="0.2">
      <c r="B20" t="s">
        <v>205</v>
      </c>
      <c r="C20" s="1" t="s">
        <v>21</v>
      </c>
      <c r="D20" s="1" t="s">
        <v>275</v>
      </c>
      <c r="E20" s="1" t="s">
        <v>473</v>
      </c>
      <c r="F20" s="1" t="s">
        <v>492</v>
      </c>
      <c r="G20" s="1" t="s">
        <v>274</v>
      </c>
      <c r="H20" s="1" t="s">
        <v>66</v>
      </c>
    </row>
    <row r="21" spans="1:15" x14ac:dyDescent="0.2">
      <c r="C21" s="1" t="s">
        <v>233</v>
      </c>
      <c r="D21" s="1" t="s">
        <v>541</v>
      </c>
      <c r="E21" s="1" t="s">
        <v>255</v>
      </c>
      <c r="F21" s="1" t="s">
        <v>431</v>
      </c>
      <c r="G21" s="1" t="s">
        <v>74</v>
      </c>
      <c r="H21" s="1" t="s">
        <v>195</v>
      </c>
    </row>
    <row r="22" spans="1:15" x14ac:dyDescent="0.2">
      <c r="B22" t="s">
        <v>336</v>
      </c>
      <c r="C22" s="1" t="s">
        <v>147</v>
      </c>
      <c r="D22" s="1" t="s">
        <v>27</v>
      </c>
      <c r="E22" s="1" t="s">
        <v>270</v>
      </c>
      <c r="F22" s="1" t="s">
        <v>567</v>
      </c>
      <c r="G22" s="1" t="s">
        <v>27</v>
      </c>
      <c r="H22" s="1" t="s">
        <v>251</v>
      </c>
    </row>
    <row r="23" spans="1:15" x14ac:dyDescent="0.2">
      <c r="C23" s="1" t="s">
        <v>150</v>
      </c>
      <c r="D23" s="1" t="s">
        <v>138</v>
      </c>
      <c r="E23" s="1" t="s">
        <v>551</v>
      </c>
      <c r="F23" s="1" t="s">
        <v>568</v>
      </c>
      <c r="G23" s="1" t="s">
        <v>576</v>
      </c>
      <c r="H23" s="1" t="s">
        <v>266</v>
      </c>
    </row>
    <row r="24" spans="1:15" x14ac:dyDescent="0.2">
      <c r="B24" t="s">
        <v>206</v>
      </c>
      <c r="C24" s="1" t="s">
        <v>25</v>
      </c>
      <c r="D24" s="1" t="s">
        <v>71</v>
      </c>
      <c r="E24" s="1" t="s">
        <v>71</v>
      </c>
      <c r="F24" s="1" t="s">
        <v>264</v>
      </c>
      <c r="G24" s="1" t="s">
        <v>165</v>
      </c>
      <c r="H24" s="1" t="s">
        <v>263</v>
      </c>
      <c r="J24" s="6" t="b">
        <f t="shared" ref="J24:O24" si="2">C24&gt;C22</f>
        <v>1</v>
      </c>
      <c r="K24" s="6" t="b">
        <f t="shared" si="2"/>
        <v>1</v>
      </c>
      <c r="L24" s="6" t="b">
        <f t="shared" si="2"/>
        <v>1</v>
      </c>
      <c r="M24" s="6" t="b">
        <f t="shared" si="2"/>
        <v>0</v>
      </c>
      <c r="N24" s="6" t="b">
        <f t="shared" si="2"/>
        <v>1</v>
      </c>
      <c r="O24" s="6" t="b">
        <f t="shared" si="2"/>
        <v>1</v>
      </c>
    </row>
    <row r="25" spans="1:15" x14ac:dyDescent="0.2">
      <c r="C25" s="1" t="s">
        <v>262</v>
      </c>
      <c r="D25" s="1" t="s">
        <v>63</v>
      </c>
      <c r="E25" s="1" t="s">
        <v>474</v>
      </c>
      <c r="F25" s="1" t="s">
        <v>143</v>
      </c>
      <c r="G25" s="1" t="s">
        <v>197</v>
      </c>
      <c r="H25" s="1" t="s">
        <v>197</v>
      </c>
    </row>
    <row r="26" spans="1:15" x14ac:dyDescent="0.2">
      <c r="A26" t="s">
        <v>591</v>
      </c>
      <c r="B26" t="s">
        <v>204</v>
      </c>
      <c r="C26" s="1" t="s">
        <v>28</v>
      </c>
      <c r="D26" s="1" t="s">
        <v>75</v>
      </c>
      <c r="E26" s="1" t="s">
        <v>116</v>
      </c>
      <c r="F26" s="1" t="s">
        <v>569</v>
      </c>
      <c r="G26" s="1" t="s">
        <v>171</v>
      </c>
      <c r="H26" s="1" t="s">
        <v>171</v>
      </c>
    </row>
    <row r="27" spans="1:15" x14ac:dyDescent="0.2">
      <c r="C27" s="1" t="s">
        <v>29</v>
      </c>
      <c r="D27" s="1" t="s">
        <v>178</v>
      </c>
      <c r="E27" s="1" t="s">
        <v>417</v>
      </c>
      <c r="F27" s="1" t="s">
        <v>219</v>
      </c>
      <c r="G27" s="1" t="s">
        <v>419</v>
      </c>
      <c r="H27" s="1" t="s">
        <v>435</v>
      </c>
    </row>
    <row r="28" spans="1:15" x14ac:dyDescent="0.2">
      <c r="B28" t="s">
        <v>205</v>
      </c>
      <c r="C28" s="1" t="s">
        <v>452</v>
      </c>
      <c r="D28" s="1" t="s">
        <v>366</v>
      </c>
      <c r="E28" s="1" t="s">
        <v>32</v>
      </c>
      <c r="F28" s="1" t="s">
        <v>498</v>
      </c>
      <c r="G28" s="1" t="s">
        <v>258</v>
      </c>
      <c r="H28" s="1" t="s">
        <v>584</v>
      </c>
    </row>
    <row r="29" spans="1:15" x14ac:dyDescent="0.2">
      <c r="C29" s="1" t="s">
        <v>533</v>
      </c>
      <c r="D29" s="1" t="s">
        <v>348</v>
      </c>
      <c r="E29" s="1" t="s">
        <v>496</v>
      </c>
      <c r="F29" s="1" t="s">
        <v>148</v>
      </c>
      <c r="G29" s="1" t="s">
        <v>174</v>
      </c>
      <c r="H29" s="1" t="s">
        <v>164</v>
      </c>
    </row>
    <row r="30" spans="1:15" x14ac:dyDescent="0.2">
      <c r="B30" t="s">
        <v>336</v>
      </c>
      <c r="C30" s="1" t="s">
        <v>237</v>
      </c>
      <c r="D30" s="1" t="s">
        <v>252</v>
      </c>
      <c r="E30" s="1" t="s">
        <v>251</v>
      </c>
      <c r="F30" s="1" t="s">
        <v>403</v>
      </c>
      <c r="G30" s="1" t="s">
        <v>175</v>
      </c>
      <c r="H30" s="1" t="s">
        <v>73</v>
      </c>
    </row>
    <row r="31" spans="1:15" x14ac:dyDescent="0.2">
      <c r="C31" s="1" t="s">
        <v>350</v>
      </c>
      <c r="D31" s="1" t="s">
        <v>542</v>
      </c>
      <c r="E31" s="1" t="s">
        <v>386</v>
      </c>
      <c r="F31" s="1" t="s">
        <v>570</v>
      </c>
      <c r="G31" s="1" t="s">
        <v>577</v>
      </c>
      <c r="H31" s="1" t="s">
        <v>523</v>
      </c>
    </row>
    <row r="32" spans="1:15" x14ac:dyDescent="0.2">
      <c r="B32" t="s">
        <v>206</v>
      </c>
      <c r="C32" s="1" t="s">
        <v>351</v>
      </c>
      <c r="D32" s="1" t="s">
        <v>244</v>
      </c>
      <c r="E32" s="1" t="s">
        <v>120</v>
      </c>
      <c r="F32" s="1" t="s">
        <v>243</v>
      </c>
      <c r="G32" s="1" t="s">
        <v>171</v>
      </c>
      <c r="H32" s="1" t="s">
        <v>242</v>
      </c>
      <c r="J32" s="6" t="b">
        <f t="shared" ref="J32:O32" si="3">C32&gt;C30</f>
        <v>0</v>
      </c>
      <c r="K32" s="6" t="b">
        <f t="shared" si="3"/>
        <v>0</v>
      </c>
      <c r="L32" s="6" t="b">
        <f t="shared" si="3"/>
        <v>0</v>
      </c>
      <c r="M32" s="6" t="b">
        <f t="shared" si="3"/>
        <v>1</v>
      </c>
      <c r="N32" s="6" t="b">
        <f t="shared" si="3"/>
        <v>0</v>
      </c>
      <c r="O32" s="6" t="b">
        <f t="shared" si="3"/>
        <v>0</v>
      </c>
    </row>
    <row r="33" spans="1:15" x14ac:dyDescent="0.2">
      <c r="C33" s="1" t="s">
        <v>241</v>
      </c>
      <c r="D33" s="1" t="s">
        <v>240</v>
      </c>
      <c r="E33" s="1" t="s">
        <v>148</v>
      </c>
      <c r="F33" s="1" t="s">
        <v>168</v>
      </c>
      <c r="G33" s="1" t="s">
        <v>578</v>
      </c>
      <c r="H33" s="1" t="s">
        <v>524</v>
      </c>
    </row>
    <row r="34" spans="1:15" x14ac:dyDescent="0.2">
      <c r="A34" t="s">
        <v>592</v>
      </c>
      <c r="B34" t="s">
        <v>204</v>
      </c>
      <c r="C34" s="1" t="s">
        <v>534</v>
      </c>
      <c r="D34" s="1" t="s">
        <v>369</v>
      </c>
      <c r="E34" s="1" t="s">
        <v>383</v>
      </c>
      <c r="F34" s="1" t="s">
        <v>84</v>
      </c>
      <c r="G34" s="1" t="s">
        <v>214</v>
      </c>
      <c r="H34" s="1" t="s">
        <v>42</v>
      </c>
    </row>
    <row r="35" spans="1:15" x14ac:dyDescent="0.2">
      <c r="C35" s="1" t="s">
        <v>131</v>
      </c>
      <c r="D35" s="1" t="s">
        <v>85</v>
      </c>
      <c r="E35" s="1" t="s">
        <v>123</v>
      </c>
      <c r="F35" s="1" t="s">
        <v>226</v>
      </c>
      <c r="G35" s="1" t="s">
        <v>178</v>
      </c>
      <c r="H35" s="1" t="s">
        <v>22</v>
      </c>
    </row>
    <row r="36" spans="1:15" x14ac:dyDescent="0.2">
      <c r="B36" t="s">
        <v>205</v>
      </c>
      <c r="C36" s="1" t="s">
        <v>535</v>
      </c>
      <c r="D36" s="1" t="s">
        <v>543</v>
      </c>
      <c r="E36" s="1" t="s">
        <v>552</v>
      </c>
      <c r="F36" s="1" t="s">
        <v>571</v>
      </c>
      <c r="G36" s="1" t="s">
        <v>579</v>
      </c>
      <c r="H36" s="1" t="s">
        <v>585</v>
      </c>
    </row>
    <row r="37" spans="1:15" x14ac:dyDescent="0.2">
      <c r="C37" s="1" t="s">
        <v>33</v>
      </c>
      <c r="D37" s="1" t="s">
        <v>544</v>
      </c>
      <c r="E37" s="1" t="s">
        <v>385</v>
      </c>
      <c r="F37" s="1" t="s">
        <v>247</v>
      </c>
      <c r="G37" s="1" t="s">
        <v>179</v>
      </c>
      <c r="H37" s="1" t="s">
        <v>586</v>
      </c>
    </row>
    <row r="38" spans="1:15" x14ac:dyDescent="0.2">
      <c r="B38" t="s">
        <v>336</v>
      </c>
      <c r="C38" s="1" t="s">
        <v>215</v>
      </c>
      <c r="D38" s="1" t="s">
        <v>545</v>
      </c>
      <c r="E38" s="1" t="s">
        <v>89</v>
      </c>
      <c r="F38" s="1" t="s">
        <v>46</v>
      </c>
      <c r="G38" s="1" t="s">
        <v>572</v>
      </c>
      <c r="H38" s="1" t="s">
        <v>201</v>
      </c>
    </row>
    <row r="39" spans="1:15" x14ac:dyDescent="0.2">
      <c r="C39" s="1" t="s">
        <v>536</v>
      </c>
      <c r="D39" s="1" t="s">
        <v>546</v>
      </c>
      <c r="E39" s="1" t="s">
        <v>553</v>
      </c>
      <c r="F39" s="1" t="s">
        <v>74</v>
      </c>
      <c r="G39" s="1" t="s">
        <v>527</v>
      </c>
      <c r="H39" s="1" t="s">
        <v>587</v>
      </c>
    </row>
    <row r="40" spans="1:15" x14ac:dyDescent="0.2">
      <c r="B40" t="s">
        <v>206</v>
      </c>
      <c r="C40" s="1" t="s">
        <v>513</v>
      </c>
      <c r="D40" s="1" t="s">
        <v>91</v>
      </c>
      <c r="E40" s="1" t="s">
        <v>216</v>
      </c>
      <c r="F40" s="1" t="s">
        <v>502</v>
      </c>
      <c r="G40" s="1" t="s">
        <v>214</v>
      </c>
      <c r="H40" s="1" t="s">
        <v>149</v>
      </c>
      <c r="J40" s="6" t="b">
        <f t="shared" ref="J40:O40" si="4">C40&gt;C38</f>
        <v>0</v>
      </c>
      <c r="K40" s="6" t="b">
        <f t="shared" si="4"/>
        <v>0</v>
      </c>
      <c r="L40" s="6" t="b">
        <f t="shared" si="4"/>
        <v>0</v>
      </c>
      <c r="M40" s="6" t="b">
        <f t="shared" si="4"/>
        <v>1</v>
      </c>
      <c r="N40" s="6" t="b">
        <f t="shared" si="4"/>
        <v>0</v>
      </c>
      <c r="O40" s="6" t="b">
        <f t="shared" si="4"/>
        <v>0</v>
      </c>
    </row>
    <row r="41" spans="1:15" x14ac:dyDescent="0.2">
      <c r="C41" s="1" t="s">
        <v>212</v>
      </c>
      <c r="D41" s="1" t="s">
        <v>92</v>
      </c>
      <c r="E41" s="1" t="s">
        <v>522</v>
      </c>
      <c r="F41" s="1" t="s">
        <v>152</v>
      </c>
      <c r="G41" s="1" t="s">
        <v>170</v>
      </c>
      <c r="H41" s="1" t="s">
        <v>207</v>
      </c>
    </row>
    <row r="42" spans="1:15" x14ac:dyDescent="0.2">
      <c r="C42" s="1" t="s">
        <v>0</v>
      </c>
      <c r="D42" s="1" t="s">
        <v>0</v>
      </c>
    </row>
    <row r="43" spans="1:15" x14ac:dyDescent="0.2">
      <c r="A43" s="2" t="s">
        <v>595</v>
      </c>
      <c r="B43" s="2"/>
      <c r="C43" s="4" t="s">
        <v>48</v>
      </c>
      <c r="D43" s="4" t="s">
        <v>94</v>
      </c>
      <c r="E43" s="4" t="s">
        <v>127</v>
      </c>
      <c r="F43" s="4" t="s">
        <v>153</v>
      </c>
      <c r="G43" s="4" t="s">
        <v>181</v>
      </c>
      <c r="H43" s="4" t="s">
        <v>203</v>
      </c>
    </row>
    <row r="44" spans="1:15" x14ac:dyDescent="0.2">
      <c r="A44" t="s">
        <v>598</v>
      </c>
    </row>
    <row r="46" spans="1:15" x14ac:dyDescent="0.2">
      <c r="F46" s="1"/>
    </row>
    <row r="47" spans="1:15" x14ac:dyDescent="0.2">
      <c r="F47" s="1"/>
    </row>
    <row r="48" spans="1:15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</sheetData>
  <mergeCells count="1">
    <mergeCell ref="J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Imp1_summary</vt:lpstr>
      <vt:lpstr>Imp1</vt:lpstr>
      <vt:lpstr>Imp2</vt:lpstr>
      <vt:lpstr>Imp3</vt:lpstr>
      <vt:lpstr>Imp4</vt:lpstr>
      <vt:lpstr>Imp5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hansgHg</dc:creator>
  <cp:lastModifiedBy>Hans Gevers</cp:lastModifiedBy>
  <dcterms:created xsi:type="dcterms:W3CDTF">2026-04-06T05:47:26Z</dcterms:created>
  <dcterms:modified xsi:type="dcterms:W3CDTF">2026-04-08T10:08:48Z</dcterms:modified>
</cp:coreProperties>
</file>